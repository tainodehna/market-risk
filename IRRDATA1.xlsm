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4974\QuangAnhPhung\Downloads\"/>
    </mc:Choice>
  </mc:AlternateContent>
  <xr:revisionPtr revIDLastSave="0" documentId="13_ncr:1_{07A3A266-CC96-4E50-B53C-C9784A144977}" xr6:coauthVersionLast="47" xr6:coauthVersionMax="47" xr10:uidLastSave="{00000000-0000-0000-0000-000000000000}"/>
  <bookViews>
    <workbookView xWindow="-98" yWindow="-98" windowWidth="19396" windowHeight="11475" tabRatio="792" xr2:uid="{00000000-000D-0000-FFFF-FFFF00000000}"/>
  </bookViews>
  <sheets>
    <sheet name="IRR" sheetId="3" r:id="rId1"/>
    <sheet name="Solution" sheetId="25" r:id="rId2"/>
    <sheet name="Specific" sheetId="20" r:id="rId3"/>
    <sheet name="VND" sheetId="18" r:id="rId4"/>
    <sheet name="USD" sheetId="23" r:id="rId5"/>
    <sheet name="Group" sheetId="15" state="hidden" r:id="rId6"/>
    <sheet name="Rating" sheetId="16" state="hidden" r:id="rId7"/>
    <sheet name="Sheet5" sheetId="19" state="hidden" r:id="rId8"/>
  </sheets>
  <externalReferences>
    <externalReference r:id="rId9"/>
    <externalReference r:id="rId10"/>
    <externalReference r:id="rId11"/>
    <externalReference r:id="rId12"/>
  </externalReferences>
  <definedNames>
    <definedName name="_AMO_UniqueIdentifier" hidden="1">"'bff25908-9f5f-48a5-8478-b2b7baa162b3'"</definedName>
    <definedName name="_xlnm._FilterDatabase" localSheetId="0" hidden="1">IRR!$A$3:$J$101</definedName>
    <definedName name="Approach">[1]Parameters!$C$353:$C$355</definedName>
    <definedName name="Check">#REF!</definedName>
    <definedName name="_xlnm.Criteria" localSheetId="2">Specific!$A$1:$A$4</definedName>
    <definedName name="DataDT">'[2]Main menu'!$KI$20</definedName>
    <definedName name="_xlnm.Extract" localSheetId="2">Specific!$C$1:$L$1</definedName>
    <definedName name="Group">[1]Parameters!$C$318:$C$319</definedName>
    <definedName name="ReportingDT">'[2]Main menu'!$KI$18</definedName>
    <definedName name="Temp">'[3]Data requirement'!$H$1</definedName>
    <definedName name="underlying">'[4]RRTDĐT-Dữ liệu &amp; Vốn'!$S$2:$X$2</definedName>
    <definedName name="YesNo">[1]Parameters!$C$316:$C$317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8" l="1"/>
  <c r="G18" i="18"/>
  <c r="H17" i="18"/>
  <c r="G17" i="18"/>
  <c r="H16" i="18"/>
  <c r="G16" i="18"/>
  <c r="H15" i="18"/>
  <c r="G15" i="18"/>
  <c r="H14" i="18"/>
  <c r="G14" i="18"/>
  <c r="H13" i="18"/>
  <c r="G13" i="18"/>
  <c r="H12" i="18"/>
  <c r="G12" i="18"/>
  <c r="H11" i="18"/>
  <c r="G11" i="18"/>
  <c r="H10" i="18"/>
  <c r="G10" i="18"/>
  <c r="H9" i="18"/>
  <c r="G9" i="18"/>
  <c r="I9" i="18" s="1"/>
  <c r="H8" i="18"/>
  <c r="G8" i="18"/>
  <c r="H7" i="18"/>
  <c r="G7" i="18"/>
  <c r="H6" i="18"/>
  <c r="G6" i="18"/>
  <c r="H5" i="18"/>
  <c r="G5" i="18"/>
  <c r="H4" i="18"/>
  <c r="G4" i="18"/>
  <c r="J101" i="3"/>
  <c r="I101" i="3"/>
  <c r="A4" i="20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A2" i="20"/>
  <c r="H18" i="23"/>
  <c r="G18" i="23"/>
  <c r="H17" i="23"/>
  <c r="G17" i="23"/>
  <c r="H16" i="23"/>
  <c r="G16" i="23"/>
  <c r="H15" i="23"/>
  <c r="G15" i="23"/>
  <c r="H14" i="23"/>
  <c r="G14" i="23"/>
  <c r="H13" i="23"/>
  <c r="G13" i="23"/>
  <c r="H12" i="23"/>
  <c r="G12" i="23"/>
  <c r="H11" i="23"/>
  <c r="G11" i="23"/>
  <c r="H10" i="23"/>
  <c r="G10" i="23"/>
  <c r="H9" i="23"/>
  <c r="G9" i="23"/>
  <c r="H8" i="23"/>
  <c r="G8" i="23"/>
  <c r="H7" i="23"/>
  <c r="G7" i="23"/>
  <c r="H6" i="23"/>
  <c r="G6" i="23"/>
  <c r="H5" i="23"/>
  <c r="G5" i="23"/>
  <c r="H4" i="23"/>
  <c r="G4" i="23"/>
  <c r="J18" i="18" l="1"/>
  <c r="J17" i="18"/>
  <c r="J16" i="18"/>
  <c r="I16" i="18"/>
  <c r="J14" i="18"/>
  <c r="J12" i="18"/>
  <c r="I6" i="18"/>
  <c r="J5" i="18"/>
  <c r="I18" i="18"/>
  <c r="J15" i="18"/>
  <c r="I14" i="18"/>
  <c r="J13" i="18"/>
  <c r="I12" i="18"/>
  <c r="J11" i="18"/>
  <c r="G19" i="18"/>
  <c r="J10" i="18"/>
  <c r="J9" i="18"/>
  <c r="J8" i="18"/>
  <c r="J7" i="18"/>
  <c r="H19" i="18"/>
  <c r="J6" i="18"/>
  <c r="J4" i="18"/>
  <c r="I4" i="18"/>
  <c r="I5" i="18"/>
  <c r="I7" i="18"/>
  <c r="I8" i="18"/>
  <c r="I10" i="18"/>
  <c r="I11" i="18"/>
  <c r="I13" i="18"/>
  <c r="I15" i="18"/>
  <c r="I17" i="18"/>
  <c r="J16" i="23"/>
  <c r="J13" i="23"/>
  <c r="J12" i="23"/>
  <c r="J15" i="23"/>
  <c r="J9" i="23"/>
  <c r="J18" i="23"/>
  <c r="J17" i="23"/>
  <c r="I17" i="23"/>
  <c r="J14" i="23"/>
  <c r="J10" i="23"/>
  <c r="J7" i="23"/>
  <c r="H19" i="23"/>
  <c r="J6" i="23"/>
  <c r="J5" i="23"/>
  <c r="J4" i="23"/>
  <c r="I5" i="23"/>
  <c r="I7" i="23"/>
  <c r="I8" i="23"/>
  <c r="I10" i="23"/>
  <c r="I11" i="23"/>
  <c r="I13" i="23"/>
  <c r="I15" i="23"/>
  <c r="J8" i="23"/>
  <c r="G19" i="23"/>
  <c r="I4" i="23"/>
  <c r="I6" i="23"/>
  <c r="I9" i="23"/>
  <c r="I12" i="23"/>
  <c r="I14" i="23"/>
  <c r="I16" i="23"/>
  <c r="I18" i="23"/>
  <c r="J11" i="2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L10" i="18" l="1"/>
  <c r="K10" i="18"/>
  <c r="K7" i="18"/>
  <c r="K18" i="18"/>
  <c r="L18" i="18"/>
  <c r="L7" i="18"/>
  <c r="G20" i="18"/>
  <c r="K18" i="23"/>
  <c r="L18" i="23"/>
  <c r="L10" i="23"/>
  <c r="K10" i="23"/>
  <c r="K7" i="23"/>
  <c r="L7" i="23"/>
  <c r="I19" i="18"/>
  <c r="J20" i="18" s="1"/>
  <c r="G20" i="23"/>
  <c r="I19" i="23"/>
  <c r="J20" i="23" s="1"/>
  <c r="N10" i="18" l="1"/>
  <c r="M7" i="18"/>
  <c r="N18" i="18"/>
  <c r="M10" i="18"/>
  <c r="M18" i="18"/>
  <c r="N7" i="18"/>
  <c r="M18" i="23"/>
  <c r="N18" i="23"/>
  <c r="N10" i="23"/>
  <c r="M10" i="23"/>
  <c r="M7" i="23"/>
  <c r="N7" i="23"/>
  <c r="P19" i="18" l="1"/>
  <c r="Q19" i="18"/>
  <c r="O19" i="18"/>
  <c r="P19" i="23"/>
  <c r="O19" i="23"/>
  <c r="Q19" i="23"/>
  <c r="L20" i="18" l="1"/>
  <c r="N20" i="18" s="1"/>
  <c r="L20" i="23"/>
  <c r="N20" i="23" s="1"/>
</calcChain>
</file>

<file path=xl/sharedStrings.xml><?xml version="1.0" encoding="utf-8"?>
<sst xmlns="http://schemas.openxmlformats.org/spreadsheetml/2006/main" count="406" uniqueCount="123">
  <si>
    <t>USD</t>
  </si>
  <si>
    <t>COUNTERPARTY_TYPE</t>
  </si>
  <si>
    <t>BBB-</t>
  </si>
  <si>
    <t>Baa3</t>
  </si>
  <si>
    <t>B1</t>
  </si>
  <si>
    <t>Baa1</t>
  </si>
  <si>
    <t>B3</t>
  </si>
  <si>
    <t>B2</t>
  </si>
  <si>
    <t>Ba3</t>
  </si>
  <si>
    <t>Baa2</t>
  </si>
  <si>
    <t>Bond</t>
  </si>
  <si>
    <t>NET_POSITION</t>
  </si>
  <si>
    <t>COUPON_RATE</t>
  </si>
  <si>
    <t>MATURITY_DATE</t>
  </si>
  <si>
    <t>CURRENCY</t>
  </si>
  <si>
    <t>PRODUCT_TYPE</t>
  </si>
  <si>
    <t>EXTERNAL_CREDIT_RATING</t>
  </si>
  <si>
    <t>TRANSACTION_ID</t>
  </si>
  <si>
    <t>Unrated</t>
  </si>
  <si>
    <t>VND</t>
  </si>
  <si>
    <t>FX FORWARD</t>
  </si>
  <si>
    <t>FX Swap</t>
  </si>
  <si>
    <t>Counterparty type</t>
  </si>
  <si>
    <t>SOV1</t>
  </si>
  <si>
    <t>Description</t>
  </si>
  <si>
    <t>Chính phủ Việt Nam, Ủy ban nhân dân tỉnh, thành phố trực thuộc Trung ương</t>
  </si>
  <si>
    <t>Chính phủ, chính quyền địa phương của các nước phát hành</t>
  </si>
  <si>
    <t>SOV2</t>
  </si>
  <si>
    <t>Tổ chức tài chính quốc tế hoặc doanh nghiệp nhà nước phát hành</t>
  </si>
  <si>
    <t>FI1</t>
  </si>
  <si>
    <t>FI2</t>
  </si>
  <si>
    <t>Được ít nhất hai tổ chức xếp hạng tín nhiệm xếp hạng BBB- hoặc tương đương trở lên</t>
  </si>
  <si>
    <t>D</t>
  </si>
  <si>
    <t>SD</t>
  </si>
  <si>
    <t>RD</t>
  </si>
  <si>
    <t>R</t>
  </si>
  <si>
    <t>C</t>
  </si>
  <si>
    <t>CC</t>
  </si>
  <si>
    <t>Ca</t>
  </si>
  <si>
    <t>CCC-</t>
  </si>
  <si>
    <t>Caa3</t>
  </si>
  <si>
    <t>CCC</t>
  </si>
  <si>
    <t>Caa2</t>
  </si>
  <si>
    <t>CCC+</t>
  </si>
  <si>
    <t>Caa1</t>
  </si>
  <si>
    <t>B-</t>
  </si>
  <si>
    <t>B</t>
  </si>
  <si>
    <t>B+</t>
  </si>
  <si>
    <t>BB-</t>
  </si>
  <si>
    <t>BB</t>
  </si>
  <si>
    <t>Ba2</t>
  </si>
  <si>
    <t>BB+</t>
  </si>
  <si>
    <t>Ba1</t>
  </si>
  <si>
    <t>BBB</t>
  </si>
  <si>
    <t>BBB+</t>
  </si>
  <si>
    <t>A-</t>
  </si>
  <si>
    <t>A3</t>
  </si>
  <si>
    <t>A</t>
  </si>
  <si>
    <t>A2</t>
  </si>
  <si>
    <t>A+</t>
  </si>
  <si>
    <t>A1</t>
  </si>
  <si>
    <t>AA-</t>
  </si>
  <si>
    <t>Aa3</t>
  </si>
  <si>
    <t>AA</t>
  </si>
  <si>
    <t>Aa2</t>
  </si>
  <si>
    <t>AA+</t>
  </si>
  <si>
    <t>Aa1</t>
  </si>
  <si>
    <t>AAA</t>
  </si>
  <si>
    <t>Aaa</t>
  </si>
  <si>
    <t>Fitch</t>
  </si>
  <si>
    <t>Moody</t>
  </si>
  <si>
    <t>SP</t>
  </si>
  <si>
    <t>Order</t>
  </si>
  <si>
    <t>%</t>
  </si>
  <si>
    <t>+/-</t>
  </si>
  <si>
    <t>Risk weight</t>
  </si>
  <si>
    <t>Net position</t>
  </si>
  <si>
    <t>Weighted Position</t>
  </si>
  <si>
    <t>Matched Weighted Position</t>
  </si>
  <si>
    <t>Unmatched Weighted Position</t>
  </si>
  <si>
    <t>Sums of weighted positions by zone</t>
  </si>
  <si>
    <t>Matched Weighted Position by zone</t>
  </si>
  <si>
    <t>Unmatched Weighted Position by zone</t>
  </si>
  <si>
    <t>Matched weighted position between zones</t>
  </si>
  <si>
    <t>Zone</t>
  </si>
  <si>
    <t xml:space="preserve">Coupon ≥ 3% </t>
  </si>
  <si>
    <t xml:space="preserve">Coupon &lt;3% </t>
  </si>
  <si>
    <t>Long</t>
  </si>
  <si>
    <t>Short</t>
  </si>
  <si>
    <t>Zone 1</t>
  </si>
  <si>
    <t>Zone 2</t>
  </si>
  <si>
    <t>Zone 3</t>
  </si>
  <si>
    <t>Financial instrument</t>
  </si>
  <si>
    <t>SRW</t>
  </si>
  <si>
    <t>Term</t>
  </si>
  <si>
    <t>Residual term to final maturity 6 months or less</t>
  </si>
  <si>
    <t>Residual term to final maturity greater than 6 and up to and including 24 months</t>
  </si>
  <si>
    <t>Residual term to final maturity exceeding 24 months</t>
  </si>
  <si>
    <t>Report Date:</t>
  </si>
  <si>
    <t>NWP</t>
  </si>
  <si>
    <t>VD</t>
  </si>
  <si>
    <t>Date</t>
  </si>
  <si>
    <t>1/2</t>
  </si>
  <si>
    <t>2/3</t>
  </si>
  <si>
    <t>3/1</t>
  </si>
  <si>
    <t>HD</t>
  </si>
  <si>
    <t>Kgr</t>
  </si>
  <si>
    <t>Number</t>
  </si>
  <si>
    <t>KSR</t>
  </si>
  <si>
    <t>Maturity ladder &lt; (years)</t>
  </si>
  <si>
    <t>External credit assessment (&lt;)</t>
  </si>
  <si>
    <t>FI1 &amp; FI2</t>
  </si>
  <si>
    <t>Other</t>
  </si>
  <si>
    <t>Ksr</t>
  </si>
  <si>
    <t>Calculation for KSR</t>
  </si>
  <si>
    <t>Calculation for KGR_VND</t>
  </si>
  <si>
    <t>KGR_VND</t>
  </si>
  <si>
    <t>Calculation for KGR_USD</t>
  </si>
  <si>
    <t>KGR_USD</t>
  </si>
  <si>
    <t>Total minimum capital requirement for interest rate risk</t>
  </si>
  <si>
    <t>K_IRR</t>
  </si>
  <si>
    <t>Type(*)</t>
  </si>
  <si>
    <t>(*) 1-SR
      0-Other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</si>
</sst>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yyyy\-mm\-dd;@"/>
    <numFmt numFmtId="166" formatCode="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9"/>
      <color theme="1"/>
      <name val="Verdana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6EF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4" borderId="0" applyFont="0" applyBorder="0"/>
    <xf numFmtId="9" fontId="5" fillId="0" borderId="0" applyFont="0" applyFill="0" applyBorder="0" applyAlignment="0" applyProtection="0"/>
    <xf numFmtId="165" fontId="3" fillId="5" borderId="1" applyFont="0" applyAlignment="0">
      <protection locked="0"/>
    </xf>
    <xf numFmtId="0" fontId="3" fillId="0" borderId="0"/>
    <xf numFmtId="0" fontId="6" fillId="0" borderId="0"/>
    <xf numFmtId="43" fontId="1" fillId="0" borderId="0" applyFont="0" applyFill="0" applyBorder="0" applyAlignment="0" applyProtection="0"/>
    <xf numFmtId="0" fontId="12" fillId="8" borderId="0" applyNumberFormat="0" applyBorder="0" applyAlignment="0" applyProtection="0"/>
  </cellStyleXfs>
  <cellXfs count="113">
    <xf numFmtId="0" fontId="0" fillId="0" borderId="0" xfId="0"/>
    <xf numFmtId="0" fontId="2" fillId="2" borderId="0" xfId="0" applyFont="1" applyFill="1" applyAlignment="1">
      <alignment vertical="center"/>
    </xf>
    <xf numFmtId="4" fontId="2" fillId="2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1" xfId="3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2" fillId="6" borderId="1" xfId="3" applyFont="1" applyFill="1" applyBorder="1" applyAlignment="1" applyProtection="1">
      <alignment horizontal="center" vertical="center"/>
      <protection locked="0"/>
    </xf>
    <xf numFmtId="14" fontId="2" fillId="6" borderId="1" xfId="3" applyNumberFormat="1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14" fontId="2" fillId="6" borderId="1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>
      <alignment horizontal="center" vertical="center"/>
    </xf>
    <xf numFmtId="14" fontId="2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0" fontId="7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9" fontId="11" fillId="0" borderId="2" xfId="0" applyNumberFormat="1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9" fontId="3" fillId="0" borderId="2" xfId="0" applyNumberFormat="1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10" fontId="3" fillId="0" borderId="11" xfId="0" applyNumberFormat="1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9" fontId="3" fillId="0" borderId="11" xfId="0" applyNumberFormat="1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14" fontId="2" fillId="2" borderId="0" xfId="0" applyNumberFormat="1" applyFon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164" fontId="7" fillId="0" borderId="2" xfId="8" applyNumberFormat="1" applyFont="1" applyBorder="1" applyAlignment="1">
      <alignment horizontal="center" vertical="center" wrapText="1"/>
    </xf>
    <xf numFmtId="164" fontId="7" fillId="7" borderId="2" xfId="8" applyNumberFormat="1" applyFont="1" applyFill="1" applyBorder="1" applyAlignment="1">
      <alignment horizontal="center" vertical="center" wrapText="1"/>
    </xf>
    <xf numFmtId="164" fontId="9" fillId="0" borderId="2" xfId="8" applyNumberFormat="1" applyFont="1" applyBorder="1" applyAlignment="1">
      <alignment horizontal="center" vertical="center" wrapText="1"/>
    </xf>
    <xf numFmtId="164" fontId="10" fillId="0" borderId="2" xfId="8" applyNumberFormat="1" applyFont="1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64" fontId="13" fillId="8" borderId="2" xfId="9" applyNumberFormat="1" applyFont="1" applyBorder="1" applyAlignment="1">
      <alignment horizontal="center" vertical="center" wrapText="1"/>
    </xf>
    <xf numFmtId="2" fontId="2" fillId="2" borderId="0" xfId="0" applyNumberFormat="1" applyFont="1" applyFill="1" applyAlignment="1">
      <alignment vertical="center"/>
    </xf>
    <xf numFmtId="0" fontId="2" fillId="3" borderId="1" xfId="3" applyFont="1" applyFill="1" applyBorder="1" applyAlignment="1">
      <alignment horizontal="center" vertical="center"/>
    </xf>
    <xf numFmtId="0" fontId="2" fillId="6" borderId="1" xfId="3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 wrapText="1"/>
    </xf>
    <xf numFmtId="1" fontId="9" fillId="0" borderId="2" xfId="0" applyNumberFormat="1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9" fontId="11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43" fontId="0" fillId="0" borderId="0" xfId="8" applyFont="1"/>
    <xf numFmtId="2" fontId="15" fillId="10" borderId="16" xfId="0" applyNumberFormat="1" applyFont="1" applyFill="1" applyBorder="1" applyAlignment="1">
      <alignment horizontal="center" vertical="center"/>
    </xf>
    <xf numFmtId="0" fontId="14" fillId="12" borderId="1" xfId="0" applyFont="1" applyFill="1" applyBorder="1"/>
    <xf numFmtId="0" fontId="14" fillId="0" borderId="0" xfId="0" applyFont="1"/>
    <xf numFmtId="0" fontId="14" fillId="13" borderId="1" xfId="0" applyFont="1" applyFill="1" applyBorder="1"/>
    <xf numFmtId="164" fontId="14" fillId="0" borderId="1" xfId="8" applyNumberFormat="1" applyFont="1" applyBorder="1"/>
    <xf numFmtId="164" fontId="14" fillId="0" borderId="0" xfId="8" applyNumberFormat="1" applyFont="1" applyFill="1" applyBorder="1"/>
    <xf numFmtId="164" fontId="14" fillId="0" borderId="1" xfId="0" applyNumberFormat="1" applyFont="1" applyBorder="1" applyAlignment="1">
      <alignment horizontal="center"/>
    </xf>
    <xf numFmtId="164" fontId="0" fillId="0" borderId="0" xfId="0" applyNumberFormat="1"/>
    <xf numFmtId="0" fontId="4" fillId="0" borderId="22" xfId="0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164" fontId="2" fillId="6" borderId="1" xfId="8" applyNumberFormat="1" applyFont="1" applyFill="1" applyBorder="1" applyAlignment="1" applyProtection="1">
      <alignment horizontal="center" vertical="center"/>
      <protection locked="0"/>
    </xf>
    <xf numFmtId="2" fontId="2" fillId="6" borderId="1" xfId="8" applyNumberFormat="1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>
      <alignment vertical="center"/>
    </xf>
    <xf numFmtId="164" fontId="2" fillId="6" borderId="1" xfId="8" applyNumberFormat="1" applyFont="1" applyFill="1" applyBorder="1" applyAlignment="1">
      <alignment horizontal="center" vertical="center"/>
    </xf>
    <xf numFmtId="2" fontId="2" fillId="6" borderId="1" xfId="8" applyNumberFormat="1" applyFont="1" applyFill="1" applyBorder="1" applyAlignment="1">
      <alignment horizontal="center" vertical="center"/>
    </xf>
    <xf numFmtId="2" fontId="2" fillId="6" borderId="19" xfId="8" applyNumberFormat="1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vertical="center"/>
    </xf>
    <xf numFmtId="0" fontId="2" fillId="2" borderId="0" xfId="0" applyFont="1" applyFill="1" applyAlignment="1">
      <alignment vertical="center" wrapText="1"/>
    </xf>
    <xf numFmtId="164" fontId="13" fillId="8" borderId="1" xfId="9" applyNumberFormat="1" applyFont="1" applyBorder="1" applyAlignment="1">
      <alignment horizontal="center"/>
    </xf>
    <xf numFmtId="2" fontId="2" fillId="2" borderId="0" xfId="1" applyNumberFormat="1" applyFont="1" applyFill="1" applyAlignment="1">
      <alignment horizontal="center" vertical="center"/>
    </xf>
    <xf numFmtId="0" fontId="2" fillId="0" borderId="1" xfId="3" applyFont="1" applyFill="1" applyBorder="1" applyAlignment="1" applyProtection="1">
      <alignment horizontal="center" vertical="center"/>
      <protection locked="0"/>
    </xf>
    <xf numFmtId="0" fontId="2" fillId="14" borderId="1" xfId="3" applyFont="1" applyFill="1" applyBorder="1" applyAlignment="1" applyProtection="1">
      <alignment horizontal="center" vertical="center"/>
      <protection locked="0"/>
    </xf>
    <xf numFmtId="10" fontId="2" fillId="6" borderId="1" xfId="4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14" borderId="1" xfId="0" applyFont="1" applyFill="1" applyBorder="1" applyAlignment="1" applyProtection="1">
      <alignment horizontal="center" vertical="center"/>
      <protection locked="0"/>
    </xf>
    <xf numFmtId="10" fontId="2" fillId="6" borderId="1" xfId="1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9" fontId="2" fillId="6" borderId="1" xfId="1" applyFont="1" applyFill="1" applyBorder="1" applyAlignment="1">
      <alignment horizontal="center" vertical="center"/>
    </xf>
    <xf numFmtId="14" fontId="2" fillId="14" borderId="1" xfId="0" applyNumberFormat="1" applyFont="1" applyFill="1" applyBorder="1" applyAlignment="1" applyProtection="1">
      <alignment horizontal="center" vertical="center"/>
      <protection locked="0"/>
    </xf>
    <xf numFmtId="14" fontId="2" fillId="14" borderId="1" xfId="0" applyNumberFormat="1" applyFont="1" applyFill="1" applyBorder="1" applyAlignment="1">
      <alignment horizontal="center" vertical="center"/>
    </xf>
    <xf numFmtId="14" fontId="2" fillId="14" borderId="1" xfId="3" applyNumberFormat="1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14" fontId="2" fillId="6" borderId="19" xfId="0" applyNumberFormat="1" applyFont="1" applyFill="1" applyBorder="1" applyAlignment="1">
      <alignment horizontal="center" vertical="center"/>
    </xf>
    <xf numFmtId="166" fontId="2" fillId="6" borderId="19" xfId="1" applyNumberFormat="1" applyFont="1" applyFill="1" applyBorder="1" applyAlignment="1">
      <alignment horizontal="center" vertical="center"/>
    </xf>
    <xf numFmtId="164" fontId="2" fillId="6" borderId="19" xfId="8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 wrapText="1"/>
    </xf>
    <xf numFmtId="164" fontId="7" fillId="0" borderId="3" xfId="8" applyNumberFormat="1" applyFont="1" applyBorder="1" applyAlignment="1">
      <alignment horizontal="center" vertical="center" wrapText="1"/>
    </xf>
    <xf numFmtId="164" fontId="7" fillId="0" borderId="4" xfId="8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11" fillId="0" borderId="13" xfId="0" applyFont="1" applyBorder="1" applyAlignment="1">
      <alignment vertical="center" wrapText="1"/>
    </xf>
    <xf numFmtId="0" fontId="11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2" fillId="2" borderId="20" xfId="0" applyNumberFormat="1" applyFont="1" applyFill="1" applyBorder="1" applyAlignment="1">
      <alignment vertical="center"/>
    </xf>
    <xf numFmtId="0" fontId="2" fillId="3" borderId="19" xfId="3" applyFont="1" applyFill="1" applyBorder="1" applyAlignment="1">
      <alignment horizontal="center" vertical="center"/>
    </xf>
  </cellXfs>
  <cellStyles count="10">
    <cellStyle name="Comma" xfId="8" builtinId="3"/>
    <cellStyle name="Comma 2" xfId="2" xr:uid="{00000000-0005-0000-0000-000000000000}"/>
    <cellStyle name="Good" xfId="9" builtinId="26"/>
    <cellStyle name="inputDate" xfId="5" xr:uid="{00000000-0005-0000-0000-000001000000}"/>
    <cellStyle name="Normal" xfId="0" builtinId="0"/>
    <cellStyle name="Normal 2" xfId="3" xr:uid="{00000000-0005-0000-0000-000003000000}"/>
    <cellStyle name="Normal 2 2" xfId="6" xr:uid="{00000000-0005-0000-0000-000004000000}"/>
    <cellStyle name="Normal 3" xfId="7" xr:uid="{00000000-0005-0000-0000-000005000000}"/>
    <cellStyle name="Percent 2" xfId="1" xr:uid="{00000000-0005-0000-0000-000006000000}"/>
    <cellStyle name="Percent 2 2" xfId="4" xr:uid="{00000000-0005-0000-0000-0000070000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0846E"/>
      <color rgb="FF9D57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16989</xdr:colOff>
      <xdr:row>3</xdr:row>
      <xdr:rowOff>178593</xdr:rowOff>
    </xdr:from>
    <xdr:to>
      <xdr:col>6</xdr:col>
      <xdr:colOff>273843</xdr:colOff>
      <xdr:row>6</xdr:row>
      <xdr:rowOff>94226</xdr:rowOff>
    </xdr:to>
    <xdr:pic macro="[0]!solution">
      <xdr:nvPicPr>
        <xdr:cNvPr id="3" name="Picture 2">
          <a:extLst>
            <a:ext uri="{FF2B5EF4-FFF2-40B4-BE49-F238E27FC236}">
              <a16:creationId xmlns:a16="http://schemas.microsoft.com/office/drawing/2014/main" id="{B14606B8-1F47-E769-A5D7-C0C32317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0067" y="750093"/>
          <a:ext cx="864073" cy="48713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190499</xdr:colOff>
      <xdr:row>5</xdr:row>
      <xdr:rowOff>53577</xdr:rowOff>
    </xdr:from>
    <xdr:to>
      <xdr:col>4</xdr:col>
      <xdr:colOff>470296</xdr:colOff>
      <xdr:row>5</xdr:row>
      <xdr:rowOff>166687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EAE3FD0-5BA8-6E5F-F255-3B917EF15E59}"/>
            </a:ext>
          </a:extLst>
        </xdr:cNvPr>
        <xdr:cNvSpPr/>
      </xdr:nvSpPr>
      <xdr:spPr>
        <a:xfrm>
          <a:off x="2649140" y="1006077"/>
          <a:ext cx="887015" cy="11311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83343</xdr:colOff>
      <xdr:row>4</xdr:row>
      <xdr:rowOff>41671</xdr:rowOff>
    </xdr:from>
    <xdr:to>
      <xdr:col>5</xdr:col>
      <xdr:colOff>41671</xdr:colOff>
      <xdr:row>5</xdr:row>
      <xdr:rowOff>130968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FB1F392-71B6-D7A9-C052-16EF4BEA41DA}"/>
            </a:ext>
          </a:extLst>
        </xdr:cNvPr>
        <xdr:cNvSpPr txBox="1"/>
      </xdr:nvSpPr>
      <xdr:spPr>
        <a:xfrm>
          <a:off x="2541984" y="803671"/>
          <a:ext cx="1172765" cy="2797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Press for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cdeloitte-my.sharepoint.com/Users/User/AppData/Roaming/Skype/My%20Skype%20Received%20Files/QIS%205/OCQIS_WorkbookQIS5_5.0.1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cdeloitte-my.sharepoint.com/Users/hoamnguyen/AppData/Local/Temp/wz03d5/SEND%20TO%20CTBC%2018112019/CAR%20calculation%20tool%20-%20CTBC%20v1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cdeloitte-my.sharepoint.com/Users/huycng/Documents/SMBC%20Project/Tool/CAR%20calculation%20tool%20-%20SMBC%20v1%20-%20V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cdeloitte-my.sharepoint.com/Users/User/Desktop/QIS%20v0.8%20(Thuy)%20-%20V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Results"/>
      <sheetName val="Checks"/>
      <sheetName val="Parameters"/>
      <sheetName val="Related entities"/>
      <sheetName val="Current"/>
      <sheetName val="Current Securitisation"/>
      <sheetName val="Standardised"/>
      <sheetName val="Standardised Securitisation"/>
      <sheetName val="FIRB Corporate agg"/>
      <sheetName val="FIRB Corporate"/>
      <sheetName val="FIRB Corporate DD"/>
      <sheetName val="FIRB Sovereign"/>
      <sheetName val="FIRB Bank"/>
      <sheetName val="FIRB SME Corporate agg"/>
      <sheetName val="FIRB SME Corporate"/>
      <sheetName val="FIRB SME Corporate DD"/>
      <sheetName val="FIRB Trading Book"/>
      <sheetName val="FIRB SL HVCRE agg"/>
      <sheetName val="FIRB SL HVCRE"/>
      <sheetName val="FIRB SL HVCRE DD"/>
      <sheetName val="FIRB SL Other agg"/>
      <sheetName val="FIRB SL Other"/>
      <sheetName val="FIRB SL Other DD"/>
      <sheetName val="IRB Other Retail"/>
      <sheetName val="IRB Retail Mortgage"/>
      <sheetName val="IRB Retail QRE"/>
      <sheetName val="IRB SME Retail"/>
      <sheetName val="AIRB Corporate agg"/>
      <sheetName val="AIRB Corporate"/>
      <sheetName val="AIRB Corporate DD"/>
      <sheetName val="AIRB Sovereign"/>
      <sheetName val="AIRB Bank"/>
      <sheetName val="AIRB SME Corporate agg"/>
      <sheetName val="AIRB SME Corporate"/>
      <sheetName val="AIRB SME Corporate DD"/>
      <sheetName val="AIRB Trading Book"/>
      <sheetName val="AIRB SL HVCRE agg"/>
      <sheetName val="AIRB SL HVCRE"/>
      <sheetName val="AIRB SL HVCRE DD"/>
      <sheetName val="AIRB SL Other agg"/>
      <sheetName val="AIRB SL Other"/>
      <sheetName val="AIRB SL Other DD"/>
      <sheetName val="IRB Equity"/>
      <sheetName val="IRB Equity memo"/>
      <sheetName val="IRB SL slotting"/>
      <sheetName val="IRB Receivables"/>
      <sheetName val="IRB Securitisation"/>
      <sheetName val="Operational risk"/>
    </sheetNames>
    <sheetDataSet>
      <sheetData sheetId="0"/>
      <sheetData sheetId="1"/>
      <sheetData sheetId="2"/>
      <sheetData sheetId="3">
        <row r="316">
          <cell r="C316" t="str">
            <v>Yes</v>
          </cell>
        </row>
        <row r="317">
          <cell r="C317" t="str">
            <v>No</v>
          </cell>
        </row>
        <row r="318">
          <cell r="C318">
            <v>1</v>
          </cell>
        </row>
        <row r="319">
          <cell r="C319">
            <v>2</v>
          </cell>
        </row>
        <row r="353">
          <cell r="C353" t="str">
            <v>RSA</v>
          </cell>
        </row>
        <row r="354">
          <cell r="C354" t="str">
            <v>FIRB</v>
          </cell>
        </row>
        <row r="355">
          <cell r="C355" t="str">
            <v>AIRB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Headers"/>
      <sheetName val="Capital Detail"/>
      <sheetName val="G042441_EN"/>
      <sheetName val="CR"/>
      <sheetName val="FX Risk"/>
      <sheetName val="IS"/>
      <sheetName val="G042541_EN"/>
      <sheetName val="G042441_VN"/>
      <sheetName val="G042541_VN"/>
      <sheetName val="Summary Chart"/>
      <sheetName val="Operational Risk"/>
      <sheetName val="General_IRR"/>
      <sheetName val="CCR_DERIVATIVES"/>
      <sheetName val="1.CreditRisk"/>
      <sheetName val="2.CreditRisk"/>
      <sheetName val="3.CreditRisk"/>
      <sheetName val="4.CreditRisk"/>
      <sheetName val="5.CreditRisk"/>
      <sheetName val="6.CCR_1"/>
      <sheetName val="7.CCR_2"/>
      <sheetName val="8.CCR_3"/>
      <sheetName val="CCR_REPO"/>
      <sheetName val="9.MR"/>
      <sheetName val="10.Summary"/>
      <sheetName val="SPOT_RATE"/>
      <sheetName val="GL_RECON"/>
      <sheetName val="Filename"/>
      <sheetName val="Other Assets"/>
      <sheetName val="Specific_IRR"/>
    </sheetNames>
    <sheetDataSet>
      <sheetData sheetId="0">
        <row r="18">
          <cell r="KI18" t="str">
            <v>20190630</v>
          </cell>
        </row>
        <row r="20">
          <cell r="KI20" t="str">
            <v>20190628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Results"/>
      <sheetName val="Report"/>
      <sheetName val="Temporary"/>
      <sheetName val="Data requirement"/>
    </sheetNames>
    <sheetDataSet>
      <sheetData sheetId="0" refreshError="1"/>
      <sheetData sheetId="1">
        <row r="5">
          <cell r="F5">
            <v>42970</v>
          </cell>
        </row>
      </sheetData>
      <sheetData sheetId="2">
        <row r="8">
          <cell r="C8" t="str">
            <v>Rủi ro tín dụng</v>
          </cell>
        </row>
      </sheetData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 information"/>
      <sheetName val="Summary"/>
      <sheetName val="Current"/>
      <sheetName val="Capital"/>
      <sheetName val="CR - Retail"/>
      <sheetName val="CR - NPL"/>
      <sheetName val="CR - FI"/>
      <sheetName val="CR - Sovereign"/>
      <sheetName val="CR - Corporate"/>
      <sheetName val="Other on-balance sheet assets"/>
      <sheetName val="Operational risk"/>
      <sheetName val="RRTDĐT-Dữ liệu &amp; Vốn"/>
      <sheetName val="Repo-style transactions"/>
      <sheetName val="RRLS-Dữ liệu"/>
      <sheetName val="RRLS-Vốn RR cụ thể (VND)"/>
      <sheetName val="RRLS-Vốn RR chung (VND)"/>
      <sheetName val="RRLS-Vốn RR cụ thể (USD)"/>
      <sheetName val="RRLS-Vốn RR chung (USD)"/>
      <sheetName val="RRNH-Dữ liệu"/>
      <sheetName val="RRNH-Vốn"/>
      <sheetName val="RRGCP-Dữ liệu &amp; Vốn"/>
      <sheetName val="RRGHH-Dữ liệu"/>
      <sheetName val="RRGHH-Vốn"/>
      <sheetName val="Quyền chọn-Dữ liệu &amp; Vố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S2" t="str">
            <v>Lãi suất</v>
          </cell>
          <cell r="T2" t="str">
            <v>Ngoại hối (gồm Vàng tiêu chuẩn)</v>
          </cell>
          <cell r="U2" t="str">
            <v>Cổ phiếu, chứng chỉ quỹ, chứng quyền</v>
          </cell>
          <cell r="V2" t="str">
            <v>Kim loại quý (trừ vàng)</v>
          </cell>
          <cell r="W2" t="str">
            <v>Các hàng hóa khác</v>
          </cell>
          <cell r="X2" t="str">
            <v>Tín dụng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90EE71-98E9-4723-8592-0E09151A123F}" name="Table1" displayName="Table1" ref="A3:J101" totalsRowShown="0" headerRowDxfId="13" headerRowBorderDxfId="11" tableBorderDxfId="12" totalsRowBorderDxfId="10">
  <tableColumns count="10">
    <tableColumn id="1" xr3:uid="{94F9F5C6-E257-48DF-BCDD-8B63AFF44C1B}" name="TRANSACTION_ID" dataDxfId="9"/>
    <tableColumn id="2" xr3:uid="{F1FDDAC6-84EB-409C-971C-1A4119A0A560}" name="COUNTERPARTY_TYPE" dataDxfId="8" dataCellStyle="Normal 2"/>
    <tableColumn id="3" xr3:uid="{D604AD7E-1319-4698-89E5-B36F0DAC843D}" name="EXTERNAL_CREDIT_RATING" dataDxfId="7" dataCellStyle="Normal 2"/>
    <tableColumn id="4" xr3:uid="{37E04EB1-35A1-4EDD-8D12-DF1378C091C8}" name="PRODUCT_TYPE" dataDxfId="6"/>
    <tableColumn id="5" xr3:uid="{36383DBB-EEC9-4367-97A6-EBD7097ED2D1}" name="CURRENCY" dataDxfId="5"/>
    <tableColumn id="6" xr3:uid="{E712E7A8-28B2-4344-90EB-EED606FC5C88}" name="MATURITY_DATE" dataDxfId="4"/>
    <tableColumn id="7" xr3:uid="{33272D49-4DEC-42B8-9D07-560AB749A404}" name="COUPON_RATE" dataDxfId="3" dataCellStyle="Percent 2"/>
    <tableColumn id="8" xr3:uid="{BB12342E-84CD-4F1A-A2B6-61C36AC05213}" name="NET_POSITION" dataDxfId="2" dataCellStyle="Comma"/>
    <tableColumn id="9" xr3:uid="{2F86B69D-2899-4042-AAB6-1F8E397BD0E2}" name="Date" dataDxfId="1" dataCellStyle="Comma">
      <calculatedColumnFormula>-($B$1-F4)/360</calculatedColumnFormula>
    </tableColumn>
    <tableColumn id="10" xr3:uid="{73A3CDB0-97E8-41CE-A5B2-9DC96824BFA3}" name="Type(*)" dataDxfId="0">
      <calculatedColumnFormula>IF(C4="",0,1)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1"/>
  <sheetViews>
    <sheetView tabSelected="1" zoomScale="83" zoomScaleNormal="115" workbookViewId="0">
      <pane xSplit="1" topLeftCell="B1" activePane="topRight" state="frozen"/>
      <selection pane="topRight" activeCell="D3" sqref="D3"/>
    </sheetView>
  </sheetViews>
  <sheetFormatPr defaultColWidth="9.265625" defaultRowHeight="13.15" x14ac:dyDescent="0.45"/>
  <cols>
    <col min="1" max="1" width="14.73046875" style="4" bestFit="1" customWidth="1"/>
    <col min="2" max="2" width="21.265625" style="4" customWidth="1"/>
    <col min="3" max="3" width="29.73046875" style="4" bestFit="1" customWidth="1"/>
    <col min="4" max="4" width="18.59765625" style="4" bestFit="1" customWidth="1"/>
    <col min="5" max="5" width="14.59765625" style="4" bestFit="1" customWidth="1"/>
    <col min="6" max="6" width="17.265625" style="3" customWidth="1"/>
    <col min="7" max="7" width="15.59765625" style="75" customWidth="1"/>
    <col min="8" max="8" width="20.73046875" style="2" customWidth="1"/>
    <col min="9" max="9" width="20.73046875" style="36" customWidth="1"/>
    <col min="10" max="12" width="9.265625" style="1" customWidth="1"/>
    <col min="13" max="13" width="13.1328125" style="4" bestFit="1" customWidth="1"/>
    <col min="14" max="14" width="15.73046875" style="1" bestFit="1" customWidth="1"/>
    <col min="15" max="15" width="21.265625" style="1" customWidth="1"/>
    <col min="16" max="16" width="13.1328125" style="1" bestFit="1" customWidth="1"/>
    <col min="17" max="16384" width="9.265625" style="1"/>
  </cols>
  <sheetData>
    <row r="1" spans="1:14" ht="26.25" x14ac:dyDescent="0.45">
      <c r="A1" s="1" t="s">
        <v>98</v>
      </c>
      <c r="B1" s="35">
        <v>43708</v>
      </c>
      <c r="J1" s="73" t="s">
        <v>122</v>
      </c>
      <c r="M1" s="1"/>
    </row>
    <row r="2" spans="1:14" ht="15" customHeight="1" x14ac:dyDescent="0.45">
      <c r="A2" s="1"/>
      <c r="B2" s="35"/>
      <c r="M2" s="53"/>
      <c r="N2" s="54"/>
    </row>
    <row r="3" spans="1:14" ht="40.5" customHeight="1" x14ac:dyDescent="0.45">
      <c r="A3" s="34" t="s">
        <v>17</v>
      </c>
      <c r="B3" s="63" t="s">
        <v>1</v>
      </c>
      <c r="C3" s="63" t="s">
        <v>16</v>
      </c>
      <c r="D3" s="63" t="s">
        <v>15</v>
      </c>
      <c r="E3" s="63" t="s">
        <v>14</v>
      </c>
      <c r="F3" s="63" t="s">
        <v>13</v>
      </c>
      <c r="G3" s="64" t="s">
        <v>12</v>
      </c>
      <c r="H3" s="63" t="s">
        <v>11</v>
      </c>
      <c r="I3" s="64" t="s">
        <v>101</v>
      </c>
      <c r="J3" s="65" t="s">
        <v>121</v>
      </c>
    </row>
    <row r="4" spans="1:14" x14ac:dyDescent="0.45">
      <c r="A4" s="76"/>
      <c r="B4" s="5"/>
      <c r="C4" s="5"/>
      <c r="D4" s="7" t="s">
        <v>20</v>
      </c>
      <c r="E4" s="77" t="s">
        <v>19</v>
      </c>
      <c r="F4" s="8">
        <v>43740</v>
      </c>
      <c r="G4" s="78"/>
      <c r="H4" s="66">
        <v>735000000</v>
      </c>
      <c r="I4" s="67">
        <f t="shared" ref="I4:I35" si="0">-($B$1-F4)/360</f>
        <v>8.8888888888888892E-2</v>
      </c>
      <c r="J4" s="68">
        <f t="shared" ref="J4:J35" si="1">IF(C4="",0,1)</f>
        <v>0</v>
      </c>
    </row>
    <row r="5" spans="1:14" x14ac:dyDescent="0.45">
      <c r="A5" s="79"/>
      <c r="B5" s="5"/>
      <c r="C5" s="5"/>
      <c r="D5" s="9" t="s">
        <v>20</v>
      </c>
      <c r="E5" s="80" t="s">
        <v>0</v>
      </c>
      <c r="F5" s="10">
        <v>43740</v>
      </c>
      <c r="G5" s="81"/>
      <c r="H5" s="66">
        <v>-737000000</v>
      </c>
      <c r="I5" s="67">
        <f t="shared" si="0"/>
        <v>8.8888888888888892E-2</v>
      </c>
      <c r="J5" s="68">
        <f t="shared" si="1"/>
        <v>0</v>
      </c>
      <c r="N5" s="4"/>
    </row>
    <row r="6" spans="1:14" x14ac:dyDescent="0.45">
      <c r="A6" s="79"/>
      <c r="B6" s="5"/>
      <c r="C6" s="5"/>
      <c r="D6" s="9" t="s">
        <v>20</v>
      </c>
      <c r="E6" s="80" t="s">
        <v>19</v>
      </c>
      <c r="F6" s="10">
        <v>43743</v>
      </c>
      <c r="G6" s="81"/>
      <c r="H6" s="66">
        <v>1364000000</v>
      </c>
      <c r="I6" s="67">
        <f t="shared" si="0"/>
        <v>9.7222222222222224E-2</v>
      </c>
      <c r="J6" s="68">
        <f t="shared" si="1"/>
        <v>0</v>
      </c>
      <c r="N6" s="4"/>
    </row>
    <row r="7" spans="1:14" x14ac:dyDescent="0.45">
      <c r="A7" s="79"/>
      <c r="B7" s="5"/>
      <c r="C7" s="5"/>
      <c r="D7" s="9" t="s">
        <v>20</v>
      </c>
      <c r="E7" s="80" t="s">
        <v>0</v>
      </c>
      <c r="F7" s="10">
        <v>43743</v>
      </c>
      <c r="G7" s="81"/>
      <c r="H7" s="66">
        <v>-1368000000</v>
      </c>
      <c r="I7" s="67">
        <f t="shared" si="0"/>
        <v>9.7222222222222224E-2</v>
      </c>
      <c r="J7" s="68">
        <f t="shared" si="1"/>
        <v>0</v>
      </c>
      <c r="N7" s="4"/>
    </row>
    <row r="8" spans="1:14" x14ac:dyDescent="0.45">
      <c r="A8" s="76"/>
      <c r="B8" s="5"/>
      <c r="C8" s="5"/>
      <c r="D8" s="9" t="s">
        <v>20</v>
      </c>
      <c r="E8" s="80" t="s">
        <v>19</v>
      </c>
      <c r="F8" s="10">
        <v>43747</v>
      </c>
      <c r="G8" s="81"/>
      <c r="H8" s="66">
        <v>1102000000</v>
      </c>
      <c r="I8" s="67">
        <f t="shared" si="0"/>
        <v>0.10833333333333334</v>
      </c>
      <c r="J8" s="68">
        <f t="shared" si="1"/>
        <v>0</v>
      </c>
      <c r="N8" s="4"/>
    </row>
    <row r="9" spans="1:14" x14ac:dyDescent="0.45">
      <c r="A9" s="79"/>
      <c r="B9" s="5"/>
      <c r="C9" s="5"/>
      <c r="D9" s="9" t="s">
        <v>20</v>
      </c>
      <c r="E9" s="80" t="s">
        <v>0</v>
      </c>
      <c r="F9" s="10">
        <v>43747</v>
      </c>
      <c r="G9" s="81"/>
      <c r="H9" s="66">
        <v>-1105000000</v>
      </c>
      <c r="I9" s="67">
        <f t="shared" si="0"/>
        <v>0.10833333333333334</v>
      </c>
      <c r="J9" s="68">
        <f t="shared" si="1"/>
        <v>0</v>
      </c>
      <c r="N9" s="4"/>
    </row>
    <row r="10" spans="1:14" x14ac:dyDescent="0.45">
      <c r="A10" s="79"/>
      <c r="B10" s="5"/>
      <c r="C10" s="5"/>
      <c r="D10" s="9" t="s">
        <v>20</v>
      </c>
      <c r="E10" s="80" t="s">
        <v>19</v>
      </c>
      <c r="F10" s="10">
        <v>43756</v>
      </c>
      <c r="G10" s="81"/>
      <c r="H10" s="66">
        <v>1308000000</v>
      </c>
      <c r="I10" s="67">
        <f t="shared" si="0"/>
        <v>0.13333333333333333</v>
      </c>
      <c r="J10" s="68">
        <f t="shared" si="1"/>
        <v>0</v>
      </c>
      <c r="N10" s="4"/>
    </row>
    <row r="11" spans="1:14" x14ac:dyDescent="0.45">
      <c r="A11" s="82"/>
      <c r="B11" s="5"/>
      <c r="C11" s="5"/>
      <c r="D11" s="11" t="s">
        <v>20</v>
      </c>
      <c r="E11" s="83" t="s">
        <v>0</v>
      </c>
      <c r="F11" s="12">
        <v>43756</v>
      </c>
      <c r="G11" s="84"/>
      <c r="H11" s="69">
        <v>-1311000000</v>
      </c>
      <c r="I11" s="70">
        <f t="shared" si="0"/>
        <v>0.13333333333333333</v>
      </c>
      <c r="J11" s="68">
        <f t="shared" si="1"/>
        <v>0</v>
      </c>
      <c r="N11" s="4"/>
    </row>
    <row r="12" spans="1:14" x14ac:dyDescent="0.45">
      <c r="A12" s="79"/>
      <c r="B12" s="5"/>
      <c r="C12" s="5"/>
      <c r="D12" s="9" t="s">
        <v>20</v>
      </c>
      <c r="E12" s="9" t="s">
        <v>0</v>
      </c>
      <c r="F12" s="10">
        <v>43854</v>
      </c>
      <c r="G12" s="81"/>
      <c r="H12" s="66">
        <v>834000000</v>
      </c>
      <c r="I12" s="67">
        <f t="shared" si="0"/>
        <v>0.40555555555555556</v>
      </c>
      <c r="J12" s="68">
        <f t="shared" si="1"/>
        <v>0</v>
      </c>
      <c r="N12" s="4"/>
    </row>
    <row r="13" spans="1:14" x14ac:dyDescent="0.45">
      <c r="A13" s="82"/>
      <c r="B13" s="5"/>
      <c r="C13" s="5"/>
      <c r="D13" s="11" t="s">
        <v>20</v>
      </c>
      <c r="E13" s="11" t="s">
        <v>19</v>
      </c>
      <c r="F13" s="12">
        <v>43854</v>
      </c>
      <c r="G13" s="84"/>
      <c r="H13" s="69">
        <v>-837000000</v>
      </c>
      <c r="I13" s="70">
        <f t="shared" si="0"/>
        <v>0.40555555555555556</v>
      </c>
      <c r="J13" s="68">
        <f t="shared" si="1"/>
        <v>0</v>
      </c>
      <c r="N13" s="4"/>
    </row>
    <row r="14" spans="1:14" x14ac:dyDescent="0.45">
      <c r="A14" s="79"/>
      <c r="B14" s="5"/>
      <c r="C14" s="5"/>
      <c r="D14" s="9" t="s">
        <v>20</v>
      </c>
      <c r="E14" s="9" t="s">
        <v>0</v>
      </c>
      <c r="F14" s="10">
        <v>43764</v>
      </c>
      <c r="G14" s="81"/>
      <c r="H14" s="66">
        <v>1479000000</v>
      </c>
      <c r="I14" s="67">
        <f t="shared" si="0"/>
        <v>0.15555555555555556</v>
      </c>
      <c r="J14" s="68">
        <f t="shared" si="1"/>
        <v>0</v>
      </c>
      <c r="N14" s="4"/>
    </row>
    <row r="15" spans="1:14" x14ac:dyDescent="0.45">
      <c r="A15" s="79"/>
      <c r="B15" s="5"/>
      <c r="C15" s="5"/>
      <c r="D15" s="9" t="s">
        <v>20</v>
      </c>
      <c r="E15" s="9" t="s">
        <v>19</v>
      </c>
      <c r="F15" s="10">
        <v>43764</v>
      </c>
      <c r="G15" s="81"/>
      <c r="H15" s="66">
        <v>-1488000000</v>
      </c>
      <c r="I15" s="67">
        <f t="shared" si="0"/>
        <v>0.15555555555555556</v>
      </c>
      <c r="J15" s="68">
        <f t="shared" si="1"/>
        <v>0</v>
      </c>
      <c r="N15" s="4"/>
    </row>
    <row r="16" spans="1:14" x14ac:dyDescent="0.45">
      <c r="A16" s="76"/>
      <c r="B16" s="5"/>
      <c r="C16" s="5"/>
      <c r="D16" s="7" t="s">
        <v>20</v>
      </c>
      <c r="E16" s="7" t="s">
        <v>0</v>
      </c>
      <c r="F16" s="8">
        <v>43745</v>
      </c>
      <c r="G16" s="78"/>
      <c r="H16" s="66">
        <v>13985000000</v>
      </c>
      <c r="I16" s="67">
        <f t="shared" si="0"/>
        <v>0.10277777777777777</v>
      </c>
      <c r="J16" s="68">
        <f t="shared" si="1"/>
        <v>0</v>
      </c>
    </row>
    <row r="17" spans="1:16" x14ac:dyDescent="0.45">
      <c r="A17" s="79"/>
      <c r="B17" s="5"/>
      <c r="C17" s="5"/>
      <c r="D17" s="9" t="s">
        <v>20</v>
      </c>
      <c r="E17" s="9" t="s">
        <v>19</v>
      </c>
      <c r="F17" s="10">
        <v>43745</v>
      </c>
      <c r="G17" s="81"/>
      <c r="H17" s="66">
        <v>-14070000000</v>
      </c>
      <c r="I17" s="67">
        <f t="shared" si="0"/>
        <v>0.10277777777777777</v>
      </c>
      <c r="J17" s="68">
        <f t="shared" si="1"/>
        <v>0</v>
      </c>
      <c r="O17" s="43"/>
      <c r="P17" s="35"/>
    </row>
    <row r="18" spans="1:16" x14ac:dyDescent="0.45">
      <c r="A18" s="79"/>
      <c r="B18" s="5"/>
      <c r="C18" s="5"/>
      <c r="D18" s="9" t="s">
        <v>20</v>
      </c>
      <c r="E18" s="9" t="s">
        <v>0</v>
      </c>
      <c r="F18" s="85">
        <v>44871</v>
      </c>
      <c r="G18" s="81"/>
      <c r="H18" s="66">
        <v>485000000</v>
      </c>
      <c r="I18" s="67">
        <f t="shared" si="0"/>
        <v>3.2305555555555556</v>
      </c>
      <c r="J18" s="68">
        <f t="shared" si="1"/>
        <v>0</v>
      </c>
      <c r="N18" s="4"/>
    </row>
    <row r="19" spans="1:16" x14ac:dyDescent="0.45">
      <c r="A19" s="82"/>
      <c r="B19" s="5"/>
      <c r="C19" s="5"/>
      <c r="D19" s="11" t="s">
        <v>20</v>
      </c>
      <c r="E19" s="11" t="s">
        <v>19</v>
      </c>
      <c r="F19" s="86">
        <v>44871</v>
      </c>
      <c r="G19" s="84"/>
      <c r="H19" s="69">
        <v>-488000000</v>
      </c>
      <c r="I19" s="70">
        <f t="shared" si="0"/>
        <v>3.2305555555555556</v>
      </c>
      <c r="J19" s="68">
        <f t="shared" si="1"/>
        <v>0</v>
      </c>
      <c r="N19" s="4"/>
    </row>
    <row r="20" spans="1:16" x14ac:dyDescent="0.45">
      <c r="A20" s="79"/>
      <c r="B20" s="5"/>
      <c r="C20" s="5"/>
      <c r="D20" s="9" t="s">
        <v>20</v>
      </c>
      <c r="E20" s="9" t="s">
        <v>0</v>
      </c>
      <c r="F20" s="10">
        <v>43874</v>
      </c>
      <c r="G20" s="81"/>
      <c r="H20" s="66">
        <v>672000000</v>
      </c>
      <c r="I20" s="67">
        <f t="shared" si="0"/>
        <v>0.46111111111111114</v>
      </c>
      <c r="J20" s="68">
        <f t="shared" si="1"/>
        <v>0</v>
      </c>
      <c r="M20" s="1"/>
      <c r="N20" s="4"/>
    </row>
    <row r="21" spans="1:16" x14ac:dyDescent="0.45">
      <c r="A21" s="82"/>
      <c r="B21" s="5"/>
      <c r="C21" s="5"/>
      <c r="D21" s="11" t="s">
        <v>20</v>
      </c>
      <c r="E21" s="11" t="s">
        <v>19</v>
      </c>
      <c r="F21" s="12">
        <v>43874</v>
      </c>
      <c r="G21" s="84"/>
      <c r="H21" s="69">
        <v>-677000000</v>
      </c>
      <c r="I21" s="70">
        <f t="shared" si="0"/>
        <v>0.46111111111111114</v>
      </c>
      <c r="J21" s="68">
        <f t="shared" si="1"/>
        <v>0</v>
      </c>
      <c r="M21" s="1"/>
      <c r="N21" s="4"/>
    </row>
    <row r="22" spans="1:16" x14ac:dyDescent="0.45">
      <c r="A22" s="79"/>
      <c r="B22" s="5"/>
      <c r="C22" s="5"/>
      <c r="D22" s="9" t="s">
        <v>20</v>
      </c>
      <c r="E22" s="9" t="s">
        <v>0</v>
      </c>
      <c r="F22" s="10">
        <v>43798</v>
      </c>
      <c r="G22" s="81"/>
      <c r="H22" s="66">
        <v>343000000</v>
      </c>
      <c r="I22" s="67">
        <f t="shared" si="0"/>
        <v>0.25</v>
      </c>
      <c r="J22" s="68">
        <f t="shared" si="1"/>
        <v>0</v>
      </c>
      <c r="N22" s="4"/>
    </row>
    <row r="23" spans="1:16" x14ac:dyDescent="0.45">
      <c r="A23" s="82"/>
      <c r="B23" s="5"/>
      <c r="C23" s="5"/>
      <c r="D23" s="11" t="s">
        <v>20</v>
      </c>
      <c r="E23" s="11" t="s">
        <v>19</v>
      </c>
      <c r="F23" s="12">
        <v>43798</v>
      </c>
      <c r="G23" s="84"/>
      <c r="H23" s="69">
        <v>-347000000</v>
      </c>
      <c r="I23" s="70">
        <f t="shared" si="0"/>
        <v>0.25</v>
      </c>
      <c r="J23" s="68">
        <f t="shared" si="1"/>
        <v>0</v>
      </c>
      <c r="N23" s="4"/>
    </row>
    <row r="24" spans="1:16" x14ac:dyDescent="0.45">
      <c r="A24" s="76"/>
      <c r="B24" s="5"/>
      <c r="C24" s="5"/>
      <c r="D24" s="9" t="s">
        <v>20</v>
      </c>
      <c r="E24" s="9" t="s">
        <v>0</v>
      </c>
      <c r="F24" s="10">
        <v>43773</v>
      </c>
      <c r="G24" s="81"/>
      <c r="H24" s="66">
        <v>16485000000</v>
      </c>
      <c r="I24" s="67">
        <f t="shared" si="0"/>
        <v>0.18055555555555555</v>
      </c>
      <c r="J24" s="68">
        <f t="shared" si="1"/>
        <v>0</v>
      </c>
      <c r="N24" s="4"/>
    </row>
    <row r="25" spans="1:16" x14ac:dyDescent="0.45">
      <c r="A25" s="79"/>
      <c r="B25" s="5"/>
      <c r="C25" s="5"/>
      <c r="D25" s="9" t="s">
        <v>20</v>
      </c>
      <c r="E25" s="9" t="s">
        <v>19</v>
      </c>
      <c r="F25" s="10">
        <v>43773</v>
      </c>
      <c r="G25" s="81"/>
      <c r="H25" s="66">
        <v>-16598000000</v>
      </c>
      <c r="I25" s="67">
        <f t="shared" si="0"/>
        <v>0.18055555555555555</v>
      </c>
      <c r="J25" s="68">
        <f t="shared" si="1"/>
        <v>0</v>
      </c>
      <c r="N25" s="4"/>
    </row>
    <row r="26" spans="1:16" x14ac:dyDescent="0.45">
      <c r="A26" s="76"/>
      <c r="B26" s="5"/>
      <c r="C26" s="5"/>
      <c r="D26" s="7" t="s">
        <v>20</v>
      </c>
      <c r="E26" s="7" t="s">
        <v>0</v>
      </c>
      <c r="F26" s="8">
        <v>43775</v>
      </c>
      <c r="G26" s="78"/>
      <c r="H26" s="66">
        <v>7997000000</v>
      </c>
      <c r="I26" s="67">
        <f t="shared" si="0"/>
        <v>0.18611111111111112</v>
      </c>
      <c r="J26" s="68">
        <f t="shared" si="1"/>
        <v>0</v>
      </c>
      <c r="N26" s="4"/>
    </row>
    <row r="27" spans="1:16" x14ac:dyDescent="0.45">
      <c r="A27" s="79"/>
      <c r="B27" s="5"/>
      <c r="C27" s="5"/>
      <c r="D27" s="9" t="s">
        <v>20</v>
      </c>
      <c r="E27" s="9" t="s">
        <v>19</v>
      </c>
      <c r="F27" s="10">
        <v>43775</v>
      </c>
      <c r="G27" s="81"/>
      <c r="H27" s="66">
        <v>-8091000000</v>
      </c>
      <c r="I27" s="67">
        <f t="shared" si="0"/>
        <v>0.18611111111111112</v>
      </c>
      <c r="J27" s="68">
        <f t="shared" si="1"/>
        <v>0</v>
      </c>
    </row>
    <row r="28" spans="1:16" x14ac:dyDescent="0.45">
      <c r="A28" s="79"/>
      <c r="B28" s="5"/>
      <c r="C28" s="5"/>
      <c r="D28" s="9" t="s">
        <v>20</v>
      </c>
      <c r="E28" s="77" t="s">
        <v>19</v>
      </c>
      <c r="F28" s="10">
        <v>43902</v>
      </c>
      <c r="G28" s="81"/>
      <c r="H28" s="66">
        <v>367000000</v>
      </c>
      <c r="I28" s="67">
        <f t="shared" si="0"/>
        <v>0.53888888888888886</v>
      </c>
      <c r="J28" s="68">
        <f t="shared" si="1"/>
        <v>0</v>
      </c>
    </row>
    <row r="29" spans="1:16" x14ac:dyDescent="0.45">
      <c r="A29" s="82"/>
      <c r="B29" s="5"/>
      <c r="C29" s="5"/>
      <c r="D29" s="11" t="s">
        <v>20</v>
      </c>
      <c r="E29" s="80" t="s">
        <v>0</v>
      </c>
      <c r="F29" s="12">
        <v>43902</v>
      </c>
      <c r="G29" s="84"/>
      <c r="H29" s="69">
        <v>-368000000</v>
      </c>
      <c r="I29" s="70">
        <f t="shared" si="0"/>
        <v>0.53888888888888886</v>
      </c>
      <c r="J29" s="68">
        <f t="shared" si="1"/>
        <v>0</v>
      </c>
    </row>
    <row r="30" spans="1:16" x14ac:dyDescent="0.45">
      <c r="A30" s="76"/>
      <c r="B30" s="5"/>
      <c r="C30" s="5"/>
      <c r="D30" s="7" t="s">
        <v>20</v>
      </c>
      <c r="E30" s="80" t="s">
        <v>19</v>
      </c>
      <c r="F30" s="8">
        <v>43816</v>
      </c>
      <c r="G30" s="81"/>
      <c r="H30" s="66">
        <v>945000000</v>
      </c>
      <c r="I30" s="67">
        <f t="shared" si="0"/>
        <v>0.3</v>
      </c>
      <c r="J30" s="68">
        <f t="shared" si="1"/>
        <v>0</v>
      </c>
    </row>
    <row r="31" spans="1:16" x14ac:dyDescent="0.45">
      <c r="A31" s="79"/>
      <c r="B31" s="5"/>
      <c r="C31" s="5"/>
      <c r="D31" s="9" t="s">
        <v>20</v>
      </c>
      <c r="E31" s="80" t="s">
        <v>0</v>
      </c>
      <c r="F31" s="10">
        <v>43816</v>
      </c>
      <c r="G31" s="81"/>
      <c r="H31" s="66">
        <v>-953000000</v>
      </c>
      <c r="I31" s="67">
        <f t="shared" si="0"/>
        <v>0.3</v>
      </c>
      <c r="J31" s="68">
        <f t="shared" si="1"/>
        <v>0</v>
      </c>
    </row>
    <row r="32" spans="1:16" x14ac:dyDescent="0.45">
      <c r="A32" s="76"/>
      <c r="B32" s="5"/>
      <c r="C32" s="5"/>
      <c r="D32" s="7" t="s">
        <v>20</v>
      </c>
      <c r="E32" s="80" t="s">
        <v>19</v>
      </c>
      <c r="F32" s="8">
        <v>43787</v>
      </c>
      <c r="G32" s="78"/>
      <c r="H32" s="66">
        <v>10315000000</v>
      </c>
      <c r="I32" s="67">
        <f t="shared" si="0"/>
        <v>0.21944444444444444</v>
      </c>
      <c r="J32" s="68">
        <f t="shared" si="1"/>
        <v>0</v>
      </c>
    </row>
    <row r="33" spans="1:10" x14ac:dyDescent="0.45">
      <c r="A33" s="79"/>
      <c r="B33" s="5"/>
      <c r="C33" s="5"/>
      <c r="D33" s="9" t="s">
        <v>20</v>
      </c>
      <c r="E33" s="80" t="s">
        <v>0</v>
      </c>
      <c r="F33" s="10">
        <v>43787</v>
      </c>
      <c r="G33" s="81"/>
      <c r="H33" s="66">
        <v>-10355000000</v>
      </c>
      <c r="I33" s="67">
        <f t="shared" si="0"/>
        <v>0.21944444444444444</v>
      </c>
      <c r="J33" s="68">
        <f t="shared" si="1"/>
        <v>0</v>
      </c>
    </row>
    <row r="34" spans="1:10" x14ac:dyDescent="0.45">
      <c r="A34" s="79"/>
      <c r="B34" s="5"/>
      <c r="C34" s="5"/>
      <c r="D34" s="9" t="s">
        <v>20</v>
      </c>
      <c r="E34" s="80" t="s">
        <v>19</v>
      </c>
      <c r="F34" s="85">
        <v>45251</v>
      </c>
      <c r="G34" s="81"/>
      <c r="H34" s="66">
        <v>23190000000</v>
      </c>
      <c r="I34" s="67">
        <f t="shared" si="0"/>
        <v>4.2861111111111114</v>
      </c>
      <c r="J34" s="68">
        <f t="shared" si="1"/>
        <v>0</v>
      </c>
    </row>
    <row r="35" spans="1:10" x14ac:dyDescent="0.45">
      <c r="A35" s="82"/>
      <c r="B35" s="5"/>
      <c r="C35" s="5"/>
      <c r="D35" s="11" t="s">
        <v>20</v>
      </c>
      <c r="E35" s="83" t="s">
        <v>0</v>
      </c>
      <c r="F35" s="86">
        <v>45251</v>
      </c>
      <c r="G35" s="84"/>
      <c r="H35" s="69">
        <v>-23360000000</v>
      </c>
      <c r="I35" s="70">
        <f t="shared" si="0"/>
        <v>4.2861111111111114</v>
      </c>
      <c r="J35" s="68">
        <f t="shared" si="1"/>
        <v>0</v>
      </c>
    </row>
    <row r="36" spans="1:10" x14ac:dyDescent="0.45">
      <c r="A36" s="76"/>
      <c r="B36" s="5"/>
      <c r="C36" s="5"/>
      <c r="D36" s="7" t="s">
        <v>20</v>
      </c>
      <c r="E36" s="9" t="s">
        <v>0</v>
      </c>
      <c r="F36" s="8">
        <v>43824</v>
      </c>
      <c r="G36" s="81"/>
      <c r="H36" s="66">
        <v>2786000000</v>
      </c>
      <c r="I36" s="67">
        <f t="shared" ref="I36:I67" si="2">-($B$1-F36)/360</f>
        <v>0.32222222222222224</v>
      </c>
      <c r="J36" s="68">
        <f t="shared" ref="J36:J67" si="3">IF(C36="",0,1)</f>
        <v>0</v>
      </c>
    </row>
    <row r="37" spans="1:10" x14ac:dyDescent="0.45">
      <c r="A37" s="79"/>
      <c r="B37" s="5"/>
      <c r="C37" s="5"/>
      <c r="D37" s="9" t="s">
        <v>20</v>
      </c>
      <c r="E37" s="9" t="s">
        <v>19</v>
      </c>
      <c r="F37" s="10">
        <v>43824</v>
      </c>
      <c r="G37" s="81"/>
      <c r="H37" s="66">
        <v>-2805000000</v>
      </c>
      <c r="I37" s="67">
        <f t="shared" si="2"/>
        <v>0.32222222222222224</v>
      </c>
      <c r="J37" s="68">
        <f t="shared" si="3"/>
        <v>0</v>
      </c>
    </row>
    <row r="38" spans="1:10" x14ac:dyDescent="0.45">
      <c r="A38" s="79"/>
      <c r="B38" s="5"/>
      <c r="C38" s="5"/>
      <c r="D38" s="9" t="s">
        <v>20</v>
      </c>
      <c r="E38" s="9" t="s">
        <v>0</v>
      </c>
      <c r="F38" s="10">
        <v>43832</v>
      </c>
      <c r="G38" s="81"/>
      <c r="H38" s="66">
        <v>847000000</v>
      </c>
      <c r="I38" s="67">
        <f t="shared" si="2"/>
        <v>0.34444444444444444</v>
      </c>
      <c r="J38" s="68">
        <f t="shared" si="3"/>
        <v>0</v>
      </c>
    </row>
    <row r="39" spans="1:10" x14ac:dyDescent="0.45">
      <c r="A39" s="79"/>
      <c r="B39" s="5"/>
      <c r="C39" s="5"/>
      <c r="D39" s="9" t="s">
        <v>20</v>
      </c>
      <c r="E39" s="9" t="s">
        <v>19</v>
      </c>
      <c r="F39" s="10">
        <v>43832</v>
      </c>
      <c r="G39" s="81"/>
      <c r="H39" s="66">
        <v>-853000000</v>
      </c>
      <c r="I39" s="67">
        <f t="shared" si="2"/>
        <v>0.34444444444444444</v>
      </c>
      <c r="J39" s="68">
        <f t="shared" si="3"/>
        <v>0</v>
      </c>
    </row>
    <row r="40" spans="1:10" x14ac:dyDescent="0.45">
      <c r="A40" s="79"/>
      <c r="B40" s="5"/>
      <c r="C40" s="5"/>
      <c r="D40" s="9" t="s">
        <v>20</v>
      </c>
      <c r="E40" s="9" t="s">
        <v>0</v>
      </c>
      <c r="F40" s="10">
        <v>43801</v>
      </c>
      <c r="G40" s="81"/>
      <c r="H40" s="66">
        <v>6103000000</v>
      </c>
      <c r="I40" s="67">
        <f t="shared" si="2"/>
        <v>0.25833333333333336</v>
      </c>
      <c r="J40" s="68">
        <f t="shared" si="3"/>
        <v>0</v>
      </c>
    </row>
    <row r="41" spans="1:10" x14ac:dyDescent="0.45">
      <c r="A41" s="82"/>
      <c r="B41" s="5"/>
      <c r="C41" s="5"/>
      <c r="D41" s="11" t="s">
        <v>20</v>
      </c>
      <c r="E41" s="11" t="s">
        <v>19</v>
      </c>
      <c r="F41" s="12">
        <v>43801</v>
      </c>
      <c r="G41" s="84"/>
      <c r="H41" s="69">
        <v>-6110000000</v>
      </c>
      <c r="I41" s="70">
        <f t="shared" si="2"/>
        <v>0.25833333333333336</v>
      </c>
      <c r="J41" s="68">
        <f t="shared" si="3"/>
        <v>0</v>
      </c>
    </row>
    <row r="42" spans="1:10" x14ac:dyDescent="0.45">
      <c r="A42" s="79"/>
      <c r="B42" s="5"/>
      <c r="C42" s="5"/>
      <c r="D42" s="9" t="s">
        <v>20</v>
      </c>
      <c r="E42" s="9" t="s">
        <v>0</v>
      </c>
      <c r="F42" s="10">
        <v>43836</v>
      </c>
      <c r="G42" s="81"/>
      <c r="H42" s="66">
        <v>908000000</v>
      </c>
      <c r="I42" s="67">
        <f t="shared" si="2"/>
        <v>0.35555555555555557</v>
      </c>
      <c r="J42" s="68">
        <f t="shared" si="3"/>
        <v>0</v>
      </c>
    </row>
    <row r="43" spans="1:10" x14ac:dyDescent="0.45">
      <c r="A43" s="82"/>
      <c r="B43" s="5"/>
      <c r="C43" s="5"/>
      <c r="D43" s="11" t="s">
        <v>20</v>
      </c>
      <c r="E43" s="11" t="s">
        <v>19</v>
      </c>
      <c r="F43" s="12">
        <v>43836</v>
      </c>
      <c r="G43" s="84"/>
      <c r="H43" s="69">
        <v>-913000000</v>
      </c>
      <c r="I43" s="70">
        <f t="shared" si="2"/>
        <v>0.35555555555555557</v>
      </c>
      <c r="J43" s="68">
        <f t="shared" si="3"/>
        <v>0</v>
      </c>
    </row>
    <row r="44" spans="1:10" x14ac:dyDescent="0.45">
      <c r="A44" s="79"/>
      <c r="B44" s="5"/>
      <c r="C44" s="5"/>
      <c r="D44" s="9" t="s">
        <v>20</v>
      </c>
      <c r="E44" s="9" t="s">
        <v>0</v>
      </c>
      <c r="F44" s="10">
        <v>43808</v>
      </c>
      <c r="G44" s="81"/>
      <c r="H44" s="66">
        <v>11595000000</v>
      </c>
      <c r="I44" s="67">
        <f t="shared" si="2"/>
        <v>0.27777777777777779</v>
      </c>
      <c r="J44" s="68">
        <f t="shared" si="3"/>
        <v>0</v>
      </c>
    </row>
    <row r="45" spans="1:10" x14ac:dyDescent="0.45">
      <c r="A45" s="79"/>
      <c r="B45" s="5"/>
      <c r="C45" s="5"/>
      <c r="D45" s="9" t="s">
        <v>20</v>
      </c>
      <c r="E45" s="9" t="s">
        <v>19</v>
      </c>
      <c r="F45" s="10">
        <v>43808</v>
      </c>
      <c r="G45" s="81"/>
      <c r="H45" s="66">
        <v>-11650000000</v>
      </c>
      <c r="I45" s="67">
        <f t="shared" si="2"/>
        <v>0.27777777777777779</v>
      </c>
      <c r="J45" s="68">
        <f t="shared" si="3"/>
        <v>0</v>
      </c>
    </row>
    <row r="46" spans="1:10" x14ac:dyDescent="0.45">
      <c r="A46" s="79"/>
      <c r="B46" s="5"/>
      <c r="C46" s="5"/>
      <c r="D46" s="9" t="s">
        <v>20</v>
      </c>
      <c r="E46" s="9" t="s">
        <v>0</v>
      </c>
      <c r="F46" s="10">
        <v>43840</v>
      </c>
      <c r="G46" s="81"/>
      <c r="H46" s="66">
        <v>517000000</v>
      </c>
      <c r="I46" s="67">
        <f t="shared" si="2"/>
        <v>0.36666666666666664</v>
      </c>
      <c r="J46" s="68">
        <f t="shared" si="3"/>
        <v>0</v>
      </c>
    </row>
    <row r="47" spans="1:10" x14ac:dyDescent="0.45">
      <c r="A47" s="79"/>
      <c r="B47" s="5"/>
      <c r="C47" s="5"/>
      <c r="D47" s="9" t="s">
        <v>20</v>
      </c>
      <c r="E47" s="9" t="s">
        <v>19</v>
      </c>
      <c r="F47" s="10">
        <v>43840</v>
      </c>
      <c r="G47" s="81"/>
      <c r="H47" s="66">
        <v>-519000000</v>
      </c>
      <c r="I47" s="67">
        <f t="shared" si="2"/>
        <v>0.36666666666666664</v>
      </c>
      <c r="J47" s="68">
        <f t="shared" si="3"/>
        <v>0</v>
      </c>
    </row>
    <row r="48" spans="1:10" x14ac:dyDescent="0.45">
      <c r="A48" s="79"/>
      <c r="B48" s="5"/>
      <c r="C48" s="5"/>
      <c r="D48" s="9" t="s">
        <v>20</v>
      </c>
      <c r="E48" s="9" t="s">
        <v>0</v>
      </c>
      <c r="F48" s="10">
        <v>43934</v>
      </c>
      <c r="G48" s="81"/>
      <c r="H48" s="66">
        <v>337000000</v>
      </c>
      <c r="I48" s="67">
        <f t="shared" si="2"/>
        <v>0.62777777777777777</v>
      </c>
      <c r="J48" s="68">
        <f t="shared" si="3"/>
        <v>0</v>
      </c>
    </row>
    <row r="49" spans="1:10" x14ac:dyDescent="0.45">
      <c r="A49" s="79"/>
      <c r="B49" s="5"/>
      <c r="C49" s="5"/>
      <c r="D49" s="9" t="s">
        <v>20</v>
      </c>
      <c r="E49" s="7" t="s">
        <v>19</v>
      </c>
      <c r="F49" s="10">
        <v>43934</v>
      </c>
      <c r="G49" s="81"/>
      <c r="H49" s="66">
        <v>-336000000</v>
      </c>
      <c r="I49" s="67">
        <f t="shared" si="2"/>
        <v>0.62777777777777777</v>
      </c>
      <c r="J49" s="68">
        <f t="shared" si="3"/>
        <v>0</v>
      </c>
    </row>
    <row r="50" spans="1:10" x14ac:dyDescent="0.45">
      <c r="A50" s="79"/>
      <c r="B50" s="5"/>
      <c r="C50" s="5"/>
      <c r="D50" s="9" t="s">
        <v>20</v>
      </c>
      <c r="E50" s="9" t="s">
        <v>0</v>
      </c>
      <c r="F50" s="10">
        <v>43850</v>
      </c>
      <c r="G50" s="81"/>
      <c r="H50" s="66">
        <v>54000000</v>
      </c>
      <c r="I50" s="67">
        <f t="shared" si="2"/>
        <v>0.39444444444444443</v>
      </c>
      <c r="J50" s="68">
        <f t="shared" si="3"/>
        <v>0</v>
      </c>
    </row>
    <row r="51" spans="1:10" x14ac:dyDescent="0.45">
      <c r="A51" s="79"/>
      <c r="B51" s="5"/>
      <c r="C51" s="5"/>
      <c r="D51" s="9" t="s">
        <v>20</v>
      </c>
      <c r="E51" s="9" t="s">
        <v>19</v>
      </c>
      <c r="F51" s="10">
        <v>43850</v>
      </c>
      <c r="G51" s="81"/>
      <c r="H51" s="66">
        <v>-55000000</v>
      </c>
      <c r="I51" s="67">
        <f t="shared" si="2"/>
        <v>0.39444444444444443</v>
      </c>
      <c r="J51" s="68">
        <f t="shared" si="3"/>
        <v>0</v>
      </c>
    </row>
    <row r="52" spans="1:10" x14ac:dyDescent="0.45">
      <c r="A52" s="79"/>
      <c r="B52" s="5"/>
      <c r="C52" s="5"/>
      <c r="D52" s="9" t="s">
        <v>20</v>
      </c>
      <c r="E52" s="9" t="s">
        <v>0</v>
      </c>
      <c r="F52" s="10">
        <v>43822</v>
      </c>
      <c r="G52" s="81"/>
      <c r="H52" s="66">
        <v>46380000000</v>
      </c>
      <c r="I52" s="67">
        <f t="shared" si="2"/>
        <v>0.31666666666666665</v>
      </c>
      <c r="J52" s="68">
        <f t="shared" si="3"/>
        <v>0</v>
      </c>
    </row>
    <row r="53" spans="1:10" x14ac:dyDescent="0.45">
      <c r="A53" s="79"/>
      <c r="B53" s="5"/>
      <c r="C53" s="5"/>
      <c r="D53" s="9" t="s">
        <v>20</v>
      </c>
      <c r="E53" s="9" t="s">
        <v>19</v>
      </c>
      <c r="F53" s="10">
        <v>43822</v>
      </c>
      <c r="G53" s="81"/>
      <c r="H53" s="66">
        <v>-46600000000</v>
      </c>
      <c r="I53" s="67">
        <f t="shared" si="2"/>
        <v>0.31666666666666665</v>
      </c>
      <c r="J53" s="68">
        <f t="shared" si="3"/>
        <v>0</v>
      </c>
    </row>
    <row r="54" spans="1:10" x14ac:dyDescent="0.45">
      <c r="A54" s="79"/>
      <c r="B54" s="5"/>
      <c r="C54" s="5"/>
      <c r="D54" s="9" t="s">
        <v>20</v>
      </c>
      <c r="E54" s="9" t="s">
        <v>0</v>
      </c>
      <c r="F54" s="10">
        <v>43857</v>
      </c>
      <c r="G54" s="81"/>
      <c r="H54" s="66">
        <v>208000000</v>
      </c>
      <c r="I54" s="67">
        <f t="shared" si="2"/>
        <v>0.41388888888888886</v>
      </c>
      <c r="J54" s="68">
        <f t="shared" si="3"/>
        <v>0</v>
      </c>
    </row>
    <row r="55" spans="1:10" x14ac:dyDescent="0.45">
      <c r="A55" s="79"/>
      <c r="B55" s="5"/>
      <c r="C55" s="5"/>
      <c r="D55" s="9" t="s">
        <v>20</v>
      </c>
      <c r="E55" s="9" t="s">
        <v>19</v>
      </c>
      <c r="F55" s="10">
        <v>43857</v>
      </c>
      <c r="G55" s="81"/>
      <c r="H55" s="66">
        <v>-208000000</v>
      </c>
      <c r="I55" s="67">
        <f t="shared" si="2"/>
        <v>0.41388888888888886</v>
      </c>
      <c r="J55" s="68">
        <f t="shared" si="3"/>
        <v>0</v>
      </c>
    </row>
    <row r="56" spans="1:10" x14ac:dyDescent="0.45">
      <c r="A56" s="79"/>
      <c r="B56" s="5"/>
      <c r="C56" s="5"/>
      <c r="D56" s="9" t="s">
        <v>20</v>
      </c>
      <c r="E56" s="9" t="s">
        <v>0</v>
      </c>
      <c r="F56" s="10">
        <v>43864</v>
      </c>
      <c r="G56" s="81"/>
      <c r="H56" s="66">
        <v>1225000000</v>
      </c>
      <c r="I56" s="67">
        <f t="shared" si="2"/>
        <v>0.43333333333333335</v>
      </c>
      <c r="J56" s="68">
        <f t="shared" si="3"/>
        <v>0</v>
      </c>
    </row>
    <row r="57" spans="1:10" x14ac:dyDescent="0.45">
      <c r="A57" s="82"/>
      <c r="B57" s="5"/>
      <c r="C57" s="5"/>
      <c r="D57" s="11" t="s">
        <v>20</v>
      </c>
      <c r="E57" s="11" t="s">
        <v>19</v>
      </c>
      <c r="F57" s="12">
        <v>43864</v>
      </c>
      <c r="G57" s="84"/>
      <c r="H57" s="69">
        <v>-1222000000</v>
      </c>
      <c r="I57" s="70">
        <f t="shared" si="2"/>
        <v>0.43333333333333335</v>
      </c>
      <c r="J57" s="68">
        <f t="shared" si="3"/>
        <v>0</v>
      </c>
    </row>
    <row r="58" spans="1:10" x14ac:dyDescent="0.45">
      <c r="A58" s="79"/>
      <c r="B58" s="5"/>
      <c r="C58" s="5"/>
      <c r="D58" s="9" t="s">
        <v>20</v>
      </c>
      <c r="E58" s="9" t="s">
        <v>0</v>
      </c>
      <c r="F58" s="10">
        <v>43867</v>
      </c>
      <c r="G58" s="81"/>
      <c r="H58" s="66">
        <v>434000000</v>
      </c>
      <c r="I58" s="67">
        <f t="shared" si="2"/>
        <v>0.44166666666666665</v>
      </c>
      <c r="J58" s="68">
        <f t="shared" si="3"/>
        <v>0</v>
      </c>
    </row>
    <row r="59" spans="1:10" x14ac:dyDescent="0.45">
      <c r="A59" s="79"/>
      <c r="B59" s="5"/>
      <c r="C59" s="5"/>
      <c r="D59" s="9" t="s">
        <v>20</v>
      </c>
      <c r="E59" s="9" t="s">
        <v>19</v>
      </c>
      <c r="F59" s="10">
        <v>43867</v>
      </c>
      <c r="G59" s="81"/>
      <c r="H59" s="66">
        <v>-434000000</v>
      </c>
      <c r="I59" s="67">
        <f t="shared" si="2"/>
        <v>0.44166666666666665</v>
      </c>
      <c r="J59" s="68">
        <f t="shared" si="3"/>
        <v>0</v>
      </c>
    </row>
    <row r="60" spans="1:10" x14ac:dyDescent="0.45">
      <c r="A60" s="79"/>
      <c r="B60" s="5"/>
      <c r="C60" s="5"/>
      <c r="D60" s="9" t="s">
        <v>20</v>
      </c>
      <c r="E60" s="9" t="s">
        <v>0</v>
      </c>
      <c r="F60" s="10">
        <v>43836</v>
      </c>
      <c r="G60" s="81"/>
      <c r="H60" s="66">
        <v>24146000000</v>
      </c>
      <c r="I60" s="67">
        <f t="shared" si="2"/>
        <v>0.35555555555555557</v>
      </c>
      <c r="J60" s="68">
        <f t="shared" si="3"/>
        <v>0</v>
      </c>
    </row>
    <row r="61" spans="1:10" x14ac:dyDescent="0.45">
      <c r="A61" s="82"/>
      <c r="B61" s="5"/>
      <c r="C61" s="5"/>
      <c r="D61" s="11" t="s">
        <v>20</v>
      </c>
      <c r="E61" s="11" t="s">
        <v>19</v>
      </c>
      <c r="F61" s="12">
        <v>43836</v>
      </c>
      <c r="G61" s="84"/>
      <c r="H61" s="69">
        <v>-24303000000</v>
      </c>
      <c r="I61" s="70">
        <f t="shared" si="2"/>
        <v>0.35555555555555557</v>
      </c>
      <c r="J61" s="68">
        <f t="shared" si="3"/>
        <v>0</v>
      </c>
    </row>
    <row r="62" spans="1:10" x14ac:dyDescent="0.45">
      <c r="A62" s="79"/>
      <c r="B62" s="5"/>
      <c r="C62" s="5"/>
      <c r="D62" s="9" t="s">
        <v>20</v>
      </c>
      <c r="E62" s="9" t="s">
        <v>0</v>
      </c>
      <c r="F62" s="10">
        <v>43871</v>
      </c>
      <c r="G62" s="81"/>
      <c r="H62" s="66">
        <v>521000000</v>
      </c>
      <c r="I62" s="67">
        <f t="shared" si="2"/>
        <v>0.45277777777777778</v>
      </c>
      <c r="J62" s="68">
        <f t="shared" si="3"/>
        <v>0</v>
      </c>
    </row>
    <row r="63" spans="1:10" x14ac:dyDescent="0.45">
      <c r="A63" s="82"/>
      <c r="B63" s="5"/>
      <c r="C63" s="5"/>
      <c r="D63" s="11" t="s">
        <v>20</v>
      </c>
      <c r="E63" s="11" t="s">
        <v>19</v>
      </c>
      <c r="F63" s="12">
        <v>43871</v>
      </c>
      <c r="G63" s="84"/>
      <c r="H63" s="69">
        <v>-523000000</v>
      </c>
      <c r="I63" s="70">
        <f t="shared" si="2"/>
        <v>0.45277777777777778</v>
      </c>
      <c r="J63" s="68">
        <f t="shared" si="3"/>
        <v>0</v>
      </c>
    </row>
    <row r="64" spans="1:10" x14ac:dyDescent="0.45">
      <c r="A64" s="79"/>
      <c r="B64" s="5"/>
      <c r="C64" s="5"/>
      <c r="D64" s="9" t="s">
        <v>20</v>
      </c>
      <c r="E64" s="9" t="s">
        <v>0</v>
      </c>
      <c r="F64" s="10">
        <v>43965</v>
      </c>
      <c r="G64" s="81"/>
      <c r="H64" s="66">
        <v>885000000</v>
      </c>
      <c r="I64" s="67">
        <f t="shared" si="2"/>
        <v>0.71388888888888891</v>
      </c>
      <c r="J64" s="68">
        <f t="shared" si="3"/>
        <v>0</v>
      </c>
    </row>
    <row r="65" spans="1:10" x14ac:dyDescent="0.45">
      <c r="A65" s="82"/>
      <c r="B65" s="5"/>
      <c r="C65" s="5"/>
      <c r="D65" s="11" t="s">
        <v>20</v>
      </c>
      <c r="E65" s="11" t="s">
        <v>19</v>
      </c>
      <c r="F65" s="12">
        <v>43965</v>
      </c>
      <c r="G65" s="84"/>
      <c r="H65" s="69">
        <v>-888000000</v>
      </c>
      <c r="I65" s="70">
        <f t="shared" si="2"/>
        <v>0.71388888888888891</v>
      </c>
      <c r="J65" s="68">
        <f t="shared" si="3"/>
        <v>0</v>
      </c>
    </row>
    <row r="66" spans="1:10" x14ac:dyDescent="0.45">
      <c r="A66" s="79"/>
      <c r="B66" s="5"/>
      <c r="C66" s="5"/>
      <c r="D66" s="9" t="s">
        <v>20</v>
      </c>
      <c r="E66" s="9" t="s">
        <v>0</v>
      </c>
      <c r="F66" s="10">
        <v>43851</v>
      </c>
      <c r="G66" s="81"/>
      <c r="H66" s="66">
        <v>27828000000</v>
      </c>
      <c r="I66" s="67">
        <f t="shared" si="2"/>
        <v>0.3972222222222222</v>
      </c>
      <c r="J66" s="68">
        <f t="shared" si="3"/>
        <v>0</v>
      </c>
    </row>
    <row r="67" spans="1:10" x14ac:dyDescent="0.45">
      <c r="A67" s="79"/>
      <c r="B67" s="5"/>
      <c r="C67" s="5"/>
      <c r="D67" s="9" t="s">
        <v>20</v>
      </c>
      <c r="E67" s="9" t="s">
        <v>19</v>
      </c>
      <c r="F67" s="10">
        <v>43851</v>
      </c>
      <c r="G67" s="81"/>
      <c r="H67" s="66">
        <v>-27912000000</v>
      </c>
      <c r="I67" s="67">
        <f t="shared" si="2"/>
        <v>0.3972222222222222</v>
      </c>
      <c r="J67" s="68">
        <f t="shared" si="3"/>
        <v>0</v>
      </c>
    </row>
    <row r="68" spans="1:10" x14ac:dyDescent="0.45">
      <c r="A68" s="79"/>
      <c r="B68" s="5"/>
      <c r="C68" s="5"/>
      <c r="D68" s="9" t="s">
        <v>20</v>
      </c>
      <c r="E68" s="9" t="s">
        <v>0</v>
      </c>
      <c r="F68" s="10">
        <v>43829</v>
      </c>
      <c r="G68" s="81"/>
      <c r="H68" s="66">
        <v>11595000000</v>
      </c>
      <c r="I68" s="67">
        <f t="shared" ref="I68:I101" si="4">-($B$1-F68)/360</f>
        <v>0.33611111111111114</v>
      </c>
      <c r="J68" s="68">
        <f t="shared" ref="J68:J101" si="5">IF(C68="",0,1)</f>
        <v>0</v>
      </c>
    </row>
    <row r="69" spans="1:10" x14ac:dyDescent="0.45">
      <c r="A69" s="79"/>
      <c r="B69" s="5"/>
      <c r="C69" s="5"/>
      <c r="D69" s="9" t="s">
        <v>20</v>
      </c>
      <c r="E69" s="9" t="s">
        <v>19</v>
      </c>
      <c r="F69" s="10">
        <v>43829</v>
      </c>
      <c r="G69" s="81"/>
      <c r="H69" s="66">
        <v>-11665000000</v>
      </c>
      <c r="I69" s="67">
        <f t="shared" si="4"/>
        <v>0.33611111111111114</v>
      </c>
      <c r="J69" s="68">
        <f t="shared" si="5"/>
        <v>0</v>
      </c>
    </row>
    <row r="70" spans="1:10" x14ac:dyDescent="0.45">
      <c r="A70" s="79"/>
      <c r="B70" s="5"/>
      <c r="C70" s="5"/>
      <c r="D70" s="9" t="s">
        <v>20</v>
      </c>
      <c r="E70" s="9" t="s">
        <v>0</v>
      </c>
      <c r="F70" s="10">
        <v>43873</v>
      </c>
      <c r="G70" s="81"/>
      <c r="H70" s="66">
        <v>10109000000</v>
      </c>
      <c r="I70" s="67">
        <f t="shared" si="4"/>
        <v>0.45833333333333331</v>
      </c>
      <c r="J70" s="68">
        <f t="shared" si="5"/>
        <v>0</v>
      </c>
    </row>
    <row r="71" spans="1:10" x14ac:dyDescent="0.45">
      <c r="A71" s="79"/>
      <c r="B71" s="5"/>
      <c r="C71" s="5"/>
      <c r="D71" s="9" t="s">
        <v>20</v>
      </c>
      <c r="E71" s="9" t="s">
        <v>19</v>
      </c>
      <c r="F71" s="10">
        <v>43873</v>
      </c>
      <c r="G71" s="81"/>
      <c r="H71" s="66">
        <v>-10139000000</v>
      </c>
      <c r="I71" s="67">
        <f t="shared" si="4"/>
        <v>0.45833333333333331</v>
      </c>
      <c r="J71" s="68">
        <f t="shared" si="5"/>
        <v>0</v>
      </c>
    </row>
    <row r="72" spans="1:10" x14ac:dyDescent="0.45">
      <c r="A72" s="79"/>
      <c r="B72" s="5"/>
      <c r="C72" s="5"/>
      <c r="D72" s="9" t="s">
        <v>20</v>
      </c>
      <c r="E72" s="9" t="s">
        <v>0</v>
      </c>
      <c r="F72" s="10">
        <v>43734</v>
      </c>
      <c r="G72" s="81"/>
      <c r="H72" s="66">
        <v>13372000000</v>
      </c>
      <c r="I72" s="67">
        <f t="shared" si="4"/>
        <v>7.2222222222222215E-2</v>
      </c>
      <c r="J72" s="68">
        <f t="shared" si="5"/>
        <v>0</v>
      </c>
    </row>
    <row r="73" spans="1:10" x14ac:dyDescent="0.45">
      <c r="A73" s="79"/>
      <c r="B73" s="5"/>
      <c r="C73" s="5"/>
      <c r="D73" s="9" t="s">
        <v>20</v>
      </c>
      <c r="E73" s="9" t="s">
        <v>19</v>
      </c>
      <c r="F73" s="10">
        <v>43734</v>
      </c>
      <c r="G73" s="81"/>
      <c r="H73" s="66">
        <v>-13441000000</v>
      </c>
      <c r="I73" s="67">
        <f t="shared" si="4"/>
        <v>7.2222222222222215E-2</v>
      </c>
      <c r="J73" s="68">
        <f t="shared" si="5"/>
        <v>0</v>
      </c>
    </row>
    <row r="74" spans="1:10" x14ac:dyDescent="0.45">
      <c r="A74" s="79"/>
      <c r="B74" s="5"/>
      <c r="C74" s="5"/>
      <c r="D74" s="9" t="s">
        <v>20</v>
      </c>
      <c r="E74" s="9" t="s">
        <v>0</v>
      </c>
      <c r="F74" s="10">
        <v>43735</v>
      </c>
      <c r="G74" s="81"/>
      <c r="H74" s="66">
        <v>73056000000</v>
      </c>
      <c r="I74" s="67">
        <f t="shared" si="4"/>
        <v>7.4999999999999997E-2</v>
      </c>
      <c r="J74" s="68">
        <f t="shared" si="5"/>
        <v>0</v>
      </c>
    </row>
    <row r="75" spans="1:10" x14ac:dyDescent="0.45">
      <c r="A75" s="79"/>
      <c r="B75" s="5"/>
      <c r="C75" s="5"/>
      <c r="D75" s="9" t="s">
        <v>20</v>
      </c>
      <c r="E75" s="9" t="s">
        <v>19</v>
      </c>
      <c r="F75" s="10">
        <v>43735</v>
      </c>
      <c r="G75" s="81"/>
      <c r="H75" s="66">
        <v>-73481000000</v>
      </c>
      <c r="I75" s="67">
        <f t="shared" si="4"/>
        <v>7.4999999999999997E-2</v>
      </c>
      <c r="J75" s="68">
        <f t="shared" si="5"/>
        <v>0</v>
      </c>
    </row>
    <row r="76" spans="1:10" x14ac:dyDescent="0.45">
      <c r="A76" s="79"/>
      <c r="B76" s="5"/>
      <c r="C76" s="5"/>
      <c r="D76" s="9" t="s">
        <v>20</v>
      </c>
      <c r="E76" s="9" t="s">
        <v>0</v>
      </c>
      <c r="F76" s="10">
        <v>43739</v>
      </c>
      <c r="G76" s="81"/>
      <c r="H76" s="66">
        <v>91578000000</v>
      </c>
      <c r="I76" s="67">
        <f t="shared" si="4"/>
        <v>8.611111111111111E-2</v>
      </c>
      <c r="J76" s="68">
        <f t="shared" si="5"/>
        <v>0</v>
      </c>
    </row>
    <row r="77" spans="1:10" x14ac:dyDescent="0.45">
      <c r="A77" s="79"/>
      <c r="B77" s="5"/>
      <c r="C77" s="5"/>
      <c r="D77" s="9" t="s">
        <v>20</v>
      </c>
      <c r="E77" s="9" t="s">
        <v>19</v>
      </c>
      <c r="F77" s="10">
        <v>43739</v>
      </c>
      <c r="G77" s="81"/>
      <c r="H77" s="66">
        <v>-91870000000</v>
      </c>
      <c r="I77" s="67">
        <f t="shared" si="4"/>
        <v>8.611111111111111E-2</v>
      </c>
      <c r="J77" s="68">
        <f t="shared" si="5"/>
        <v>0</v>
      </c>
    </row>
    <row r="78" spans="1:10" x14ac:dyDescent="0.45">
      <c r="A78" s="76"/>
      <c r="B78" s="5"/>
      <c r="C78" s="5"/>
      <c r="D78" s="7" t="s">
        <v>20</v>
      </c>
      <c r="E78" s="7" t="s">
        <v>0</v>
      </c>
      <c r="F78" s="8">
        <v>43790</v>
      </c>
      <c r="G78" s="78"/>
      <c r="H78" s="66">
        <v>19641000000</v>
      </c>
      <c r="I78" s="67">
        <f t="shared" si="4"/>
        <v>0.22777777777777777</v>
      </c>
      <c r="J78" s="68">
        <f t="shared" si="5"/>
        <v>0</v>
      </c>
    </row>
    <row r="79" spans="1:10" x14ac:dyDescent="0.45">
      <c r="A79" s="79"/>
      <c r="B79" s="5"/>
      <c r="C79" s="5"/>
      <c r="D79" s="9" t="s">
        <v>20</v>
      </c>
      <c r="E79" s="9" t="s">
        <v>19</v>
      </c>
      <c r="F79" s="85">
        <v>45982</v>
      </c>
      <c r="G79" s="81"/>
      <c r="H79" s="66">
        <v>-19862000000</v>
      </c>
      <c r="I79" s="67">
        <f t="shared" si="4"/>
        <v>6.3166666666666664</v>
      </c>
      <c r="J79" s="68">
        <f t="shared" si="5"/>
        <v>0</v>
      </c>
    </row>
    <row r="80" spans="1:10" x14ac:dyDescent="0.45">
      <c r="A80" s="76"/>
      <c r="B80" s="5"/>
      <c r="C80" s="5"/>
      <c r="D80" s="7" t="s">
        <v>20</v>
      </c>
      <c r="E80" s="7" t="s">
        <v>0</v>
      </c>
      <c r="F80" s="87">
        <v>45997</v>
      </c>
      <c r="G80" s="78"/>
      <c r="H80" s="66">
        <v>45985000000</v>
      </c>
      <c r="I80" s="67">
        <f t="shared" si="4"/>
        <v>6.3583333333333334</v>
      </c>
      <c r="J80" s="68">
        <f t="shared" si="5"/>
        <v>0</v>
      </c>
    </row>
    <row r="81" spans="1:10" x14ac:dyDescent="0.45">
      <c r="A81" s="79"/>
      <c r="B81" s="5"/>
      <c r="C81" s="5"/>
      <c r="D81" s="9" t="s">
        <v>20</v>
      </c>
      <c r="E81" s="9" t="s">
        <v>19</v>
      </c>
      <c r="F81" s="10">
        <v>43805</v>
      </c>
      <c r="G81" s="81"/>
      <c r="H81" s="66">
        <v>-46531000000</v>
      </c>
      <c r="I81" s="67">
        <f t="shared" si="4"/>
        <v>0.26944444444444443</v>
      </c>
      <c r="J81" s="68">
        <f t="shared" si="5"/>
        <v>0</v>
      </c>
    </row>
    <row r="82" spans="1:10" x14ac:dyDescent="0.45">
      <c r="A82" s="76"/>
      <c r="B82" s="5"/>
      <c r="C82" s="5"/>
      <c r="D82" s="7" t="s">
        <v>20</v>
      </c>
      <c r="E82" s="7" t="s">
        <v>0</v>
      </c>
      <c r="F82" s="8">
        <v>43819</v>
      </c>
      <c r="G82" s="78"/>
      <c r="H82" s="66">
        <v>2875000000</v>
      </c>
      <c r="I82" s="67">
        <f t="shared" si="4"/>
        <v>0.30833333333333335</v>
      </c>
      <c r="J82" s="68">
        <f t="shared" si="5"/>
        <v>0</v>
      </c>
    </row>
    <row r="83" spans="1:10" x14ac:dyDescent="0.45">
      <c r="A83" s="79"/>
      <c r="B83" s="5"/>
      <c r="C83" s="5"/>
      <c r="D83" s="9" t="s">
        <v>20</v>
      </c>
      <c r="E83" s="9" t="s">
        <v>19</v>
      </c>
      <c r="F83" s="10">
        <v>43819</v>
      </c>
      <c r="G83" s="81"/>
      <c r="H83" s="66">
        <v>-2897000000</v>
      </c>
      <c r="I83" s="67">
        <f t="shared" si="4"/>
        <v>0.30833333333333335</v>
      </c>
      <c r="J83" s="68">
        <f t="shared" si="5"/>
        <v>0</v>
      </c>
    </row>
    <row r="84" spans="1:10" x14ac:dyDescent="0.45">
      <c r="A84" s="76"/>
      <c r="B84" s="5"/>
      <c r="C84" s="5"/>
      <c r="D84" s="7" t="s">
        <v>20</v>
      </c>
      <c r="E84" s="7" t="s">
        <v>0</v>
      </c>
      <c r="F84" s="8">
        <v>43853</v>
      </c>
      <c r="G84" s="78"/>
      <c r="H84" s="66">
        <v>29312000000</v>
      </c>
      <c r="I84" s="67">
        <f t="shared" si="4"/>
        <v>0.40277777777777779</v>
      </c>
      <c r="J84" s="68">
        <f t="shared" si="5"/>
        <v>0</v>
      </c>
    </row>
    <row r="85" spans="1:10" x14ac:dyDescent="0.45">
      <c r="A85" s="79"/>
      <c r="B85" s="5"/>
      <c r="C85" s="5"/>
      <c r="D85" s="9" t="s">
        <v>20</v>
      </c>
      <c r="E85" s="9" t="s">
        <v>19</v>
      </c>
      <c r="F85" s="10">
        <v>43853</v>
      </c>
      <c r="G85" s="81"/>
      <c r="H85" s="66">
        <v>-29348000000</v>
      </c>
      <c r="I85" s="67">
        <f t="shared" si="4"/>
        <v>0.40277777777777779</v>
      </c>
      <c r="J85" s="68">
        <f t="shared" si="5"/>
        <v>0</v>
      </c>
    </row>
    <row r="86" spans="1:10" x14ac:dyDescent="0.45">
      <c r="A86" s="76"/>
      <c r="B86" s="5"/>
      <c r="C86" s="5"/>
      <c r="D86" s="7" t="s">
        <v>20</v>
      </c>
      <c r="E86" s="7" t="s">
        <v>0</v>
      </c>
      <c r="F86" s="8">
        <v>43882</v>
      </c>
      <c r="G86" s="78"/>
      <c r="H86" s="66">
        <v>7699000000</v>
      </c>
      <c r="I86" s="67">
        <f t="shared" si="4"/>
        <v>0.48333333333333334</v>
      </c>
      <c r="J86" s="68">
        <f t="shared" si="5"/>
        <v>0</v>
      </c>
    </row>
    <row r="87" spans="1:10" x14ac:dyDescent="0.45">
      <c r="A87" s="79"/>
      <c r="B87" s="5"/>
      <c r="C87" s="5"/>
      <c r="D87" s="9" t="s">
        <v>20</v>
      </c>
      <c r="E87" s="9" t="s">
        <v>19</v>
      </c>
      <c r="F87" s="10">
        <v>43882</v>
      </c>
      <c r="G87" s="81"/>
      <c r="H87" s="66">
        <v>-7722000000</v>
      </c>
      <c r="I87" s="67">
        <f t="shared" si="4"/>
        <v>0.48333333333333334</v>
      </c>
      <c r="J87" s="68">
        <f t="shared" si="5"/>
        <v>0</v>
      </c>
    </row>
    <row r="88" spans="1:10" x14ac:dyDescent="0.45">
      <c r="A88" s="82"/>
      <c r="B88" s="5"/>
      <c r="C88" s="5"/>
      <c r="D88" s="11" t="s">
        <v>21</v>
      </c>
      <c r="E88" s="11" t="s">
        <v>0</v>
      </c>
      <c r="F88" s="12">
        <v>43725</v>
      </c>
      <c r="G88" s="84"/>
      <c r="H88" s="69">
        <v>81165000000</v>
      </c>
      <c r="I88" s="70">
        <f t="shared" si="4"/>
        <v>4.7222222222222221E-2</v>
      </c>
      <c r="J88" s="68">
        <f t="shared" si="5"/>
        <v>0</v>
      </c>
    </row>
    <row r="89" spans="1:10" x14ac:dyDescent="0.45">
      <c r="A89" s="82"/>
      <c r="B89" s="5"/>
      <c r="C89" s="5"/>
      <c r="D89" s="11" t="s">
        <v>21</v>
      </c>
      <c r="E89" s="11" t="s">
        <v>19</v>
      </c>
      <c r="F89" s="12">
        <v>43725</v>
      </c>
      <c r="G89" s="84"/>
      <c r="H89" s="69">
        <v>-81337000000</v>
      </c>
      <c r="I89" s="70">
        <f t="shared" si="4"/>
        <v>4.7222222222222221E-2</v>
      </c>
      <c r="J89" s="68">
        <f t="shared" si="5"/>
        <v>0</v>
      </c>
    </row>
    <row r="90" spans="1:10" ht="14.25" x14ac:dyDescent="0.45">
      <c r="A90" s="82"/>
      <c r="B90" s="5" t="s">
        <v>27</v>
      </c>
      <c r="C90" s="5">
        <v>18</v>
      </c>
      <c r="D90" s="7" t="s">
        <v>10</v>
      </c>
      <c r="E90" s="7" t="s">
        <v>19</v>
      </c>
      <c r="F90" s="12">
        <v>45823</v>
      </c>
      <c r="G90" s="13">
        <v>7.2999999999999995E-2</v>
      </c>
      <c r="H90" s="69">
        <v>149089000000</v>
      </c>
      <c r="I90" s="70">
        <f t="shared" si="4"/>
        <v>5.875</v>
      </c>
      <c r="J90" s="68">
        <f t="shared" si="5"/>
        <v>1</v>
      </c>
    </row>
    <row r="91" spans="1:10" ht="14.25" x14ac:dyDescent="0.45">
      <c r="A91" s="82"/>
      <c r="B91" s="5" t="s">
        <v>29</v>
      </c>
      <c r="C91" s="5">
        <v>10</v>
      </c>
      <c r="D91" s="7" t="s">
        <v>10</v>
      </c>
      <c r="E91" s="7" t="s">
        <v>19</v>
      </c>
      <c r="F91" s="12">
        <v>45458</v>
      </c>
      <c r="G91" s="13">
        <v>0.11</v>
      </c>
      <c r="H91" s="69">
        <v>165000000000</v>
      </c>
      <c r="I91" s="70">
        <f t="shared" si="4"/>
        <v>4.8611111111111107</v>
      </c>
      <c r="J91" s="68">
        <f t="shared" si="5"/>
        <v>1</v>
      </c>
    </row>
    <row r="92" spans="1:10" x14ac:dyDescent="0.45">
      <c r="A92" s="82"/>
      <c r="B92" s="5"/>
      <c r="C92" s="5"/>
      <c r="D92" s="11" t="s">
        <v>21</v>
      </c>
      <c r="E92" s="11" t="s">
        <v>0</v>
      </c>
      <c r="F92" s="12">
        <v>43738</v>
      </c>
      <c r="G92" s="84"/>
      <c r="H92" s="69">
        <v>150735000000</v>
      </c>
      <c r="I92" s="70">
        <f t="shared" si="4"/>
        <v>8.3333333333333329E-2</v>
      </c>
      <c r="J92" s="68">
        <f t="shared" si="5"/>
        <v>0</v>
      </c>
    </row>
    <row r="93" spans="1:10" x14ac:dyDescent="0.45">
      <c r="A93" s="82"/>
      <c r="B93" s="5"/>
      <c r="C93" s="5"/>
      <c r="D93" s="11" t="s">
        <v>21</v>
      </c>
      <c r="E93" s="11" t="s">
        <v>19</v>
      </c>
      <c r="F93" s="12">
        <v>43738</v>
      </c>
      <c r="G93" s="84"/>
      <c r="H93" s="69">
        <v>-151210000000</v>
      </c>
      <c r="I93" s="70">
        <f t="shared" si="4"/>
        <v>8.3333333333333329E-2</v>
      </c>
      <c r="J93" s="68">
        <f t="shared" si="5"/>
        <v>0</v>
      </c>
    </row>
    <row r="94" spans="1:10" x14ac:dyDescent="0.45">
      <c r="A94" s="82"/>
      <c r="B94" s="5"/>
      <c r="C94" s="5"/>
      <c r="D94" s="11" t="s">
        <v>21</v>
      </c>
      <c r="E94" s="11" t="s">
        <v>0</v>
      </c>
      <c r="F94" s="12">
        <v>43711</v>
      </c>
      <c r="G94" s="84"/>
      <c r="H94" s="69">
        <v>115950000000</v>
      </c>
      <c r="I94" s="70">
        <f t="shared" si="4"/>
        <v>8.3333333333333332E-3</v>
      </c>
      <c r="J94" s="68">
        <f t="shared" si="5"/>
        <v>0</v>
      </c>
    </row>
    <row r="95" spans="1:10" x14ac:dyDescent="0.45">
      <c r="A95" s="82"/>
      <c r="B95" s="5"/>
      <c r="C95" s="5"/>
      <c r="D95" s="11" t="s">
        <v>21</v>
      </c>
      <c r="E95" s="11" t="s">
        <v>19</v>
      </c>
      <c r="F95" s="12">
        <v>43711</v>
      </c>
      <c r="G95" s="84"/>
      <c r="H95" s="69">
        <v>-116096000000</v>
      </c>
      <c r="I95" s="70">
        <f t="shared" si="4"/>
        <v>8.3333333333333332E-3</v>
      </c>
      <c r="J95" s="68">
        <f t="shared" si="5"/>
        <v>0</v>
      </c>
    </row>
    <row r="96" spans="1:10" x14ac:dyDescent="0.45">
      <c r="A96" s="82"/>
      <c r="B96" s="5"/>
      <c r="C96" s="5"/>
      <c r="D96" s="11" t="s">
        <v>21</v>
      </c>
      <c r="E96" s="11" t="s">
        <v>0</v>
      </c>
      <c r="F96" s="12">
        <v>43717</v>
      </c>
      <c r="G96" s="84"/>
      <c r="H96" s="69">
        <v>92760000000</v>
      </c>
      <c r="I96" s="70">
        <f t="shared" si="4"/>
        <v>2.5000000000000001E-2</v>
      </c>
      <c r="J96" s="68">
        <f t="shared" si="5"/>
        <v>0</v>
      </c>
    </row>
    <row r="97" spans="1:10" x14ac:dyDescent="0.45">
      <c r="A97" s="82"/>
      <c r="B97" s="5"/>
      <c r="C97" s="5"/>
      <c r="D97" s="11" t="s">
        <v>21</v>
      </c>
      <c r="E97" s="11" t="s">
        <v>19</v>
      </c>
      <c r="F97" s="12">
        <v>43717</v>
      </c>
      <c r="G97" s="84"/>
      <c r="H97" s="69">
        <v>-92924000000</v>
      </c>
      <c r="I97" s="70">
        <f t="shared" si="4"/>
        <v>2.5000000000000001E-2</v>
      </c>
      <c r="J97" s="68">
        <f t="shared" si="5"/>
        <v>0</v>
      </c>
    </row>
    <row r="98" spans="1:10" x14ac:dyDescent="0.45">
      <c r="A98" s="82"/>
      <c r="B98" s="5"/>
      <c r="C98" s="5"/>
      <c r="D98" s="11" t="s">
        <v>21</v>
      </c>
      <c r="E98" s="11" t="s">
        <v>0</v>
      </c>
      <c r="F98" s="12">
        <v>43718</v>
      </c>
      <c r="G98" s="84"/>
      <c r="H98" s="69">
        <v>185520000000</v>
      </c>
      <c r="I98" s="70">
        <f t="shared" si="4"/>
        <v>2.7777777777777776E-2</v>
      </c>
      <c r="J98" s="68">
        <f t="shared" si="5"/>
        <v>0</v>
      </c>
    </row>
    <row r="99" spans="1:10" x14ac:dyDescent="0.45">
      <c r="A99" s="82"/>
      <c r="B99" s="5"/>
      <c r="C99" s="5"/>
      <c r="D99" s="11" t="s">
        <v>21</v>
      </c>
      <c r="E99" s="11" t="s">
        <v>19</v>
      </c>
      <c r="F99" s="12">
        <v>43718</v>
      </c>
      <c r="G99" s="84"/>
      <c r="H99" s="69">
        <v>-185915000000</v>
      </c>
      <c r="I99" s="70">
        <f t="shared" si="4"/>
        <v>2.7777777777777776E-2</v>
      </c>
      <c r="J99" s="68">
        <f t="shared" si="5"/>
        <v>0</v>
      </c>
    </row>
    <row r="100" spans="1:10" x14ac:dyDescent="0.45">
      <c r="A100" s="82"/>
      <c r="B100" s="5"/>
      <c r="C100" s="5"/>
      <c r="D100" s="11" t="s">
        <v>21</v>
      </c>
      <c r="E100" s="11" t="s">
        <v>0</v>
      </c>
      <c r="F100" s="12">
        <v>43712</v>
      </c>
      <c r="G100" s="84"/>
      <c r="H100" s="69">
        <v>115950000000</v>
      </c>
      <c r="I100" s="71">
        <f t="shared" si="4"/>
        <v>1.1111111111111112E-2</v>
      </c>
      <c r="J100" s="72">
        <f t="shared" si="5"/>
        <v>0</v>
      </c>
    </row>
    <row r="101" spans="1:10" x14ac:dyDescent="0.45">
      <c r="A101" s="82"/>
      <c r="B101" s="5"/>
      <c r="C101" s="5"/>
      <c r="D101" s="11" t="s">
        <v>21</v>
      </c>
      <c r="E101" s="11" t="s">
        <v>19</v>
      </c>
      <c r="F101" s="12">
        <v>43712</v>
      </c>
      <c r="G101" s="84"/>
      <c r="H101" s="69">
        <v>-116100000000</v>
      </c>
      <c r="I101" s="71">
        <f t="shared" si="4"/>
        <v>1.1111111111111112E-2</v>
      </c>
      <c r="J101" s="72">
        <f t="shared" si="5"/>
        <v>0</v>
      </c>
    </row>
  </sheetData>
  <dataValidations count="1">
    <dataValidation type="list" allowBlank="1" showInputMessage="1" showErrorMessage="1" sqref="E63:E73 E4:E61" xr:uid="{57B4EC82-2196-47C3-AEE4-2823DB26DF27}">
      <formula1>"VND,USD,AUD,CAD,CHF,CNY,DKK,EUR,GBP,HKD,JPY,NOK,NZD,SEK,SGD,THB,TWD"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5903A-538B-4B53-A7ED-B09976839767}">
  <sheetPr codeName="Sheet2"/>
  <dimension ref="A1:J11"/>
  <sheetViews>
    <sheetView zoomScale="150" zoomScaleNormal="205" workbookViewId="0">
      <selection activeCell="B2" sqref="B2"/>
    </sheetView>
  </sheetViews>
  <sheetFormatPr defaultRowHeight="14.25" x14ac:dyDescent="0.45"/>
  <cols>
    <col min="1" max="1" width="9.73046875" bestFit="1" customWidth="1"/>
    <col min="2" max="2" width="18" style="62" bestFit="1" customWidth="1"/>
    <col min="10" max="10" width="15.59765625" bestFit="1" customWidth="1"/>
  </cols>
  <sheetData>
    <row r="1" spans="1:10" x14ac:dyDescent="0.45">
      <c r="A1" s="93" t="s">
        <v>114</v>
      </c>
      <c r="B1" s="93"/>
    </row>
    <row r="2" spans="1:10" x14ac:dyDescent="0.45">
      <c r="A2" s="56" t="s">
        <v>108</v>
      </c>
      <c r="B2" s="59">
        <v>22930680000</v>
      </c>
    </row>
    <row r="3" spans="1:10" x14ac:dyDescent="0.45">
      <c r="A3" s="57"/>
      <c r="B3" s="60"/>
    </row>
    <row r="4" spans="1:10" x14ac:dyDescent="0.45">
      <c r="A4" s="93" t="s">
        <v>115</v>
      </c>
      <c r="B4" s="93"/>
    </row>
    <row r="5" spans="1:10" x14ac:dyDescent="0.45">
      <c r="A5" s="56" t="s">
        <v>116</v>
      </c>
      <c r="B5" s="59">
        <v>9496251700</v>
      </c>
    </row>
    <row r="6" spans="1:10" x14ac:dyDescent="0.45">
      <c r="A6" s="57"/>
      <c r="B6" s="60"/>
    </row>
    <row r="7" spans="1:10" x14ac:dyDescent="0.45">
      <c r="A7" s="93" t="s">
        <v>117</v>
      </c>
      <c r="B7" s="93"/>
      <c r="J7" s="61"/>
    </row>
    <row r="8" spans="1:10" x14ac:dyDescent="0.45">
      <c r="A8" s="56" t="s">
        <v>118</v>
      </c>
      <c r="B8" s="59">
        <v>7488462000</v>
      </c>
    </row>
    <row r="10" spans="1:10" x14ac:dyDescent="0.45">
      <c r="A10" s="94" t="s">
        <v>119</v>
      </c>
      <c r="B10" s="94"/>
    </row>
    <row r="11" spans="1:10" x14ac:dyDescent="0.45">
      <c r="A11" s="58" t="s">
        <v>120</v>
      </c>
      <c r="B11" s="74">
        <v>39915393700</v>
      </c>
    </row>
  </sheetData>
  <mergeCells count="4">
    <mergeCell ref="A1:B1"/>
    <mergeCell ref="A4:B4"/>
    <mergeCell ref="A7:B7"/>
    <mergeCell ref="A10:B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532E-CBD5-442B-988B-18A5BB72FFD2}">
  <sheetPr codeName="Sheet7"/>
  <dimension ref="A1:M4"/>
  <sheetViews>
    <sheetView topLeftCell="C1" workbookViewId="0">
      <selection activeCell="M2" sqref="M2"/>
    </sheetView>
  </sheetViews>
  <sheetFormatPr defaultColWidth="9.265625" defaultRowHeight="14.25" x14ac:dyDescent="0.45"/>
  <cols>
    <col min="1" max="1" width="7.86328125" style="47" hidden="1" customWidth="1"/>
    <col min="2" max="2" width="12.59765625" hidden="1" customWidth="1"/>
  </cols>
  <sheetData>
    <row r="1" spans="1:13" x14ac:dyDescent="0.45">
      <c r="A1" s="47" t="s">
        <v>107</v>
      </c>
      <c r="C1" s="34" t="s">
        <v>17</v>
      </c>
      <c r="D1" s="63" t="s">
        <v>1</v>
      </c>
      <c r="E1" s="63" t="s">
        <v>16</v>
      </c>
      <c r="F1" s="63" t="s">
        <v>15</v>
      </c>
      <c r="G1" s="63" t="s">
        <v>14</v>
      </c>
      <c r="H1" s="63" t="s">
        <v>13</v>
      </c>
      <c r="I1" s="64" t="s">
        <v>12</v>
      </c>
      <c r="J1" s="63" t="s">
        <v>11</v>
      </c>
      <c r="K1" s="64" t="s">
        <v>101</v>
      </c>
      <c r="L1" s="65" t="s">
        <v>121</v>
      </c>
      <c r="M1" t="s">
        <v>113</v>
      </c>
    </row>
    <row r="2" spans="1:13" x14ac:dyDescent="0.45">
      <c r="A2" s="47">
        <f>COUNTA(IRR!C:C)-1</f>
        <v>2</v>
      </c>
      <c r="C2" s="82"/>
      <c r="D2" s="44" t="s">
        <v>27</v>
      </c>
      <c r="E2" s="44">
        <v>18</v>
      </c>
      <c r="F2" s="45" t="s">
        <v>10</v>
      </c>
      <c r="G2" s="45" t="s">
        <v>19</v>
      </c>
      <c r="H2" s="12">
        <v>45823</v>
      </c>
      <c r="I2" s="13">
        <v>7.2999999999999995E-2</v>
      </c>
      <c r="J2" s="69">
        <v>149089000000</v>
      </c>
      <c r="K2" s="70">
        <v>5.875</v>
      </c>
      <c r="L2" s="68">
        <v>1</v>
      </c>
      <c r="M2">
        <v>22930680000</v>
      </c>
    </row>
    <row r="3" spans="1:13" x14ac:dyDescent="0.45">
      <c r="A3" s="47" t="s">
        <v>107</v>
      </c>
      <c r="C3" s="82"/>
      <c r="D3" s="44" t="s">
        <v>29</v>
      </c>
      <c r="E3" s="44">
        <v>10</v>
      </c>
      <c r="F3" s="45" t="s">
        <v>10</v>
      </c>
      <c r="G3" s="45" t="s">
        <v>19</v>
      </c>
      <c r="H3" s="12">
        <v>45458</v>
      </c>
      <c r="I3" s="13">
        <v>0.11</v>
      </c>
      <c r="J3" s="69">
        <v>165000000000</v>
      </c>
      <c r="K3" s="70">
        <v>4.8611111111111107</v>
      </c>
      <c r="L3" s="68">
        <v>1</v>
      </c>
    </row>
    <row r="4" spans="1:13" x14ac:dyDescent="0.45">
      <c r="A4" s="47">
        <f>COUNTA(IRR!D:D)-1</f>
        <v>98</v>
      </c>
      <c r="C4" s="88"/>
      <c r="D4" s="112" t="s">
        <v>29</v>
      </c>
      <c r="E4" s="112">
        <v>11</v>
      </c>
      <c r="F4" s="89" t="s">
        <v>10</v>
      </c>
      <c r="G4" s="89" t="s">
        <v>0</v>
      </c>
      <c r="H4" s="90">
        <v>46188</v>
      </c>
      <c r="I4" s="91">
        <v>8.7999999999999995E-2</v>
      </c>
      <c r="J4" s="92">
        <v>150000000000</v>
      </c>
      <c r="K4" s="71">
        <v>6.8888888888888893</v>
      </c>
      <c r="L4" s="11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0CF8-BD0E-400F-9D47-76BFC53A4271}">
  <sheetPr codeName="Sheet3"/>
  <dimension ref="A1:Q20"/>
  <sheetViews>
    <sheetView zoomScale="130" zoomScaleNormal="130" workbookViewId="0"/>
  </sheetViews>
  <sheetFormatPr defaultRowHeight="14.25" x14ac:dyDescent="0.45"/>
  <cols>
    <col min="1" max="1" width="5.86328125" bestFit="1" customWidth="1"/>
    <col min="4" max="4" width="9" bestFit="1" customWidth="1"/>
    <col min="5" max="5" width="13.59765625" bestFit="1" customWidth="1"/>
    <col min="6" max="6" width="15" bestFit="1" customWidth="1"/>
    <col min="7" max="7" width="12.73046875" bestFit="1" customWidth="1"/>
    <col min="8" max="8" width="13.59765625" bestFit="1" customWidth="1"/>
    <col min="9" max="9" width="9.59765625" bestFit="1" customWidth="1"/>
    <col min="10" max="10" width="13.265625" bestFit="1" customWidth="1"/>
    <col min="11" max="11" width="12.73046875" bestFit="1" customWidth="1"/>
    <col min="12" max="12" width="11.86328125" bestFit="1" customWidth="1"/>
    <col min="13" max="13" width="12.1328125" bestFit="1" customWidth="1"/>
    <col min="14" max="14" width="14.73046875" bestFit="1" customWidth="1"/>
    <col min="15" max="15" width="3.265625" bestFit="1" customWidth="1"/>
    <col min="16" max="16" width="9.59765625" bestFit="1" customWidth="1"/>
    <col min="17" max="17" width="11.86328125" bestFit="1" customWidth="1"/>
  </cols>
  <sheetData>
    <row r="1" spans="1:17" ht="45.75" customHeight="1" thickBot="1" x14ac:dyDescent="0.5">
      <c r="A1" s="16" t="s">
        <v>19</v>
      </c>
      <c r="B1" s="100" t="s">
        <v>109</v>
      </c>
      <c r="C1" s="101"/>
      <c r="D1" s="17" t="s">
        <v>75</v>
      </c>
      <c r="E1" s="100" t="s">
        <v>76</v>
      </c>
      <c r="F1" s="101"/>
      <c r="G1" s="100" t="s">
        <v>77</v>
      </c>
      <c r="H1" s="101"/>
      <c r="I1" s="17" t="s">
        <v>78</v>
      </c>
      <c r="J1" s="17" t="s">
        <v>79</v>
      </c>
      <c r="K1" s="100" t="s">
        <v>80</v>
      </c>
      <c r="L1" s="101"/>
      <c r="M1" s="17" t="s">
        <v>81</v>
      </c>
      <c r="N1" s="17" t="s">
        <v>82</v>
      </c>
      <c r="O1" s="100" t="s">
        <v>83</v>
      </c>
      <c r="P1" s="102"/>
      <c r="Q1" s="101"/>
    </row>
    <row r="2" spans="1:17" ht="14.65" thickBot="1" x14ac:dyDescent="0.5">
      <c r="A2" s="18" t="s">
        <v>84</v>
      </c>
      <c r="B2" s="19" t="s">
        <v>85</v>
      </c>
      <c r="C2" s="19" t="s">
        <v>86</v>
      </c>
      <c r="D2" s="14" t="s">
        <v>73</v>
      </c>
      <c r="E2" s="19" t="s">
        <v>87</v>
      </c>
      <c r="F2" s="19" t="s">
        <v>88</v>
      </c>
      <c r="G2" s="19" t="s">
        <v>87</v>
      </c>
      <c r="H2" s="19" t="s">
        <v>88</v>
      </c>
      <c r="I2" s="14"/>
      <c r="J2" s="14" t="s">
        <v>74</v>
      </c>
      <c r="K2" s="19" t="s">
        <v>87</v>
      </c>
      <c r="L2" s="19" t="s">
        <v>88</v>
      </c>
      <c r="M2" s="14"/>
      <c r="N2" s="14" t="s">
        <v>74</v>
      </c>
      <c r="O2" s="41" t="s">
        <v>102</v>
      </c>
      <c r="P2" s="41" t="s">
        <v>103</v>
      </c>
      <c r="Q2" s="41" t="s">
        <v>104</v>
      </c>
    </row>
    <row r="3" spans="1:17" ht="14.65" thickBot="1" x14ac:dyDescent="0.5">
      <c r="A3" s="20">
        <v>1</v>
      </c>
      <c r="B3" s="103">
        <v>0</v>
      </c>
      <c r="C3" s="104"/>
      <c r="D3" s="15">
        <v>3</v>
      </c>
      <c r="E3" s="103">
        <v>4</v>
      </c>
      <c r="F3" s="104"/>
      <c r="G3" s="103">
        <v>5</v>
      </c>
      <c r="H3" s="104"/>
      <c r="I3" s="15">
        <v>6</v>
      </c>
      <c r="J3" s="15">
        <v>7</v>
      </c>
      <c r="K3" s="103">
        <v>8</v>
      </c>
      <c r="L3" s="104"/>
      <c r="M3" s="15"/>
      <c r="N3" s="15"/>
      <c r="O3" s="15"/>
      <c r="P3" s="15"/>
      <c r="Q3" s="15"/>
    </row>
    <row r="4" spans="1:17" ht="14.65" thickBot="1" x14ac:dyDescent="0.5">
      <c r="A4" s="97" t="s">
        <v>89</v>
      </c>
      <c r="B4" s="48">
        <v>8.3333333333333329E-2</v>
      </c>
      <c r="C4" s="48">
        <v>8.3333333333333329E-2</v>
      </c>
      <c r="D4" s="14">
        <v>0</v>
      </c>
      <c r="E4" s="37">
        <v>0</v>
      </c>
      <c r="F4" s="37">
        <v>679294000000</v>
      </c>
      <c r="G4" s="37">
        <f>E4*D4/100</f>
        <v>0</v>
      </c>
      <c r="H4" s="37">
        <f>F4*D4/100</f>
        <v>0</v>
      </c>
      <c r="I4" s="37">
        <f>MIN(G4,H4)</f>
        <v>0</v>
      </c>
      <c r="J4" s="37">
        <f>G4-H4</f>
        <v>0</v>
      </c>
      <c r="K4" s="38"/>
      <c r="L4" s="38"/>
      <c r="M4" s="38"/>
      <c r="N4" s="38"/>
      <c r="O4" s="38"/>
      <c r="P4" s="38"/>
      <c r="Q4" s="38"/>
    </row>
    <row r="5" spans="1:17" ht="14.65" thickBot="1" x14ac:dyDescent="0.5">
      <c r="A5" s="98"/>
      <c r="B5" s="48">
        <v>0.25</v>
      </c>
      <c r="C5" s="48">
        <v>0.25</v>
      </c>
      <c r="D5" s="14">
        <v>0.2</v>
      </c>
      <c r="E5" s="37">
        <v>14824000000</v>
      </c>
      <c r="F5" s="37">
        <v>283327000000</v>
      </c>
      <c r="G5" s="37">
        <f t="shared" ref="G5:G18" si="0">E5*D5/100</f>
        <v>29648000</v>
      </c>
      <c r="H5" s="37">
        <f t="shared" ref="H5:H18" si="1">F5*D5/100</f>
        <v>566654000</v>
      </c>
      <c r="I5" s="37">
        <f t="shared" ref="I5:I18" si="2">MIN(G5,H5)</f>
        <v>29648000</v>
      </c>
      <c r="J5" s="37">
        <f t="shared" ref="J5:J18" si="3">G5-H5</f>
        <v>-537006000</v>
      </c>
      <c r="K5" s="38"/>
      <c r="L5" s="38"/>
      <c r="M5" s="38"/>
      <c r="N5" s="38"/>
      <c r="O5" s="38"/>
      <c r="P5" s="38"/>
      <c r="Q5" s="38"/>
    </row>
    <row r="6" spans="1:17" ht="14.65" thickBot="1" x14ac:dyDescent="0.5">
      <c r="A6" s="98"/>
      <c r="B6" s="48">
        <v>0.5</v>
      </c>
      <c r="C6" s="48">
        <v>0.5</v>
      </c>
      <c r="D6" s="14">
        <v>0.4</v>
      </c>
      <c r="E6" s="37">
        <v>945000000</v>
      </c>
      <c r="F6" s="37">
        <v>234270000000</v>
      </c>
      <c r="G6" s="37">
        <f t="shared" si="0"/>
        <v>3780000</v>
      </c>
      <c r="H6" s="37">
        <f t="shared" si="1"/>
        <v>937080000</v>
      </c>
      <c r="I6" s="37">
        <f t="shared" si="2"/>
        <v>3780000</v>
      </c>
      <c r="J6" s="37">
        <f t="shared" si="3"/>
        <v>-933300000</v>
      </c>
      <c r="K6" s="38"/>
      <c r="L6" s="38"/>
      <c r="M6" s="38"/>
      <c r="N6" s="38"/>
      <c r="O6" s="38"/>
      <c r="P6" s="38"/>
      <c r="Q6" s="38"/>
    </row>
    <row r="7" spans="1:17" ht="14.65" thickBot="1" x14ac:dyDescent="0.5">
      <c r="A7" s="99"/>
      <c r="B7" s="49">
        <v>1</v>
      </c>
      <c r="C7" s="49">
        <v>1</v>
      </c>
      <c r="D7" s="14">
        <v>0.7</v>
      </c>
      <c r="E7" s="37">
        <v>367000000</v>
      </c>
      <c r="F7" s="37">
        <v>1224000000</v>
      </c>
      <c r="G7" s="37">
        <f t="shared" si="0"/>
        <v>2568999.9999999995</v>
      </c>
      <c r="H7" s="37">
        <f t="shared" si="1"/>
        <v>8568000</v>
      </c>
      <c r="I7" s="37">
        <f t="shared" si="2"/>
        <v>2568999.9999999995</v>
      </c>
      <c r="J7" s="37">
        <f t="shared" si="3"/>
        <v>-5999000</v>
      </c>
      <c r="K7" s="37">
        <f>SUMIF(J4:J7,"&gt;0")</f>
        <v>0</v>
      </c>
      <c r="L7" s="37">
        <f>ABS(SUMIF(J4:J7,"&lt;0"))</f>
        <v>1476305000</v>
      </c>
      <c r="M7" s="39">
        <f>MIN(K7,L7)</f>
        <v>0</v>
      </c>
      <c r="N7" s="37">
        <f>K7-L7</f>
        <v>-1476305000</v>
      </c>
      <c r="O7" s="37"/>
      <c r="P7" s="37"/>
      <c r="Q7" s="37"/>
    </row>
    <row r="8" spans="1:17" ht="14.65" thickBot="1" x14ac:dyDescent="0.5">
      <c r="A8" s="97" t="s">
        <v>90</v>
      </c>
      <c r="B8" s="49">
        <v>2</v>
      </c>
      <c r="C8" s="49">
        <v>1.9</v>
      </c>
      <c r="D8" s="14">
        <v>1.25</v>
      </c>
      <c r="E8" s="37">
        <v>0</v>
      </c>
      <c r="F8" s="37">
        <v>0</v>
      </c>
      <c r="G8" s="37">
        <f t="shared" si="0"/>
        <v>0</v>
      </c>
      <c r="H8" s="37">
        <f t="shared" si="1"/>
        <v>0</v>
      </c>
      <c r="I8" s="37">
        <f t="shared" si="2"/>
        <v>0</v>
      </c>
      <c r="J8" s="37">
        <f t="shared" si="3"/>
        <v>0</v>
      </c>
      <c r="K8" s="38"/>
      <c r="L8" s="38"/>
      <c r="M8" s="38"/>
      <c r="N8" s="38"/>
      <c r="O8" s="38"/>
      <c r="P8" s="38"/>
      <c r="Q8" s="38"/>
    </row>
    <row r="9" spans="1:17" ht="14.65" thickBot="1" x14ac:dyDescent="0.5">
      <c r="A9" s="98"/>
      <c r="B9" s="49">
        <v>3</v>
      </c>
      <c r="C9" s="49">
        <v>2.8</v>
      </c>
      <c r="D9" s="14">
        <v>1.75</v>
      </c>
      <c r="E9" s="37">
        <v>0</v>
      </c>
      <c r="F9" s="37">
        <v>0</v>
      </c>
      <c r="G9" s="37">
        <f t="shared" si="0"/>
        <v>0</v>
      </c>
      <c r="H9" s="37">
        <f t="shared" si="1"/>
        <v>0</v>
      </c>
      <c r="I9" s="37">
        <f t="shared" si="2"/>
        <v>0</v>
      </c>
      <c r="J9" s="37">
        <f t="shared" si="3"/>
        <v>0</v>
      </c>
      <c r="K9" s="38"/>
      <c r="L9" s="38"/>
      <c r="M9" s="38"/>
      <c r="N9" s="38"/>
      <c r="O9" s="38"/>
      <c r="P9" s="38"/>
      <c r="Q9" s="38"/>
    </row>
    <row r="10" spans="1:17" ht="14.65" thickBot="1" x14ac:dyDescent="0.5">
      <c r="A10" s="99"/>
      <c r="B10" s="49">
        <v>4</v>
      </c>
      <c r="C10" s="49">
        <v>3.6</v>
      </c>
      <c r="D10" s="14">
        <v>2.25</v>
      </c>
      <c r="E10" s="37">
        <v>0</v>
      </c>
      <c r="F10" s="37">
        <v>488000000</v>
      </c>
      <c r="G10" s="37">
        <f t="shared" si="0"/>
        <v>0</v>
      </c>
      <c r="H10" s="37">
        <f t="shared" si="1"/>
        <v>10980000</v>
      </c>
      <c r="I10" s="37">
        <f t="shared" si="2"/>
        <v>0</v>
      </c>
      <c r="J10" s="37">
        <f t="shared" si="3"/>
        <v>-10980000</v>
      </c>
      <c r="K10" s="37">
        <f>SUMIF(J8:J10,"&gt;0")</f>
        <v>0</v>
      </c>
      <c r="L10" s="37">
        <f>ABS(SUMIF(J8:J10,"&lt;0"))</f>
        <v>10980000</v>
      </c>
      <c r="M10" s="39">
        <f>MIN(K10,L10)</f>
        <v>0</v>
      </c>
      <c r="N10" s="37">
        <f>K10-L10</f>
        <v>-10980000</v>
      </c>
      <c r="O10" s="37"/>
      <c r="P10" s="37"/>
      <c r="Q10" s="37"/>
    </row>
    <row r="11" spans="1:17" ht="14.65" thickBot="1" x14ac:dyDescent="0.5">
      <c r="A11" s="97" t="s">
        <v>91</v>
      </c>
      <c r="B11" s="49">
        <v>5</v>
      </c>
      <c r="C11" s="49">
        <v>4.3</v>
      </c>
      <c r="D11" s="14">
        <v>2.75</v>
      </c>
      <c r="E11" s="37">
        <v>188190000000</v>
      </c>
      <c r="F11" s="37">
        <v>0</v>
      </c>
      <c r="G11" s="37">
        <f t="shared" si="0"/>
        <v>5175225000</v>
      </c>
      <c r="H11" s="37">
        <f t="shared" si="1"/>
        <v>0</v>
      </c>
      <c r="I11" s="37">
        <f t="shared" si="2"/>
        <v>0</v>
      </c>
      <c r="J11" s="37">
        <f t="shared" si="3"/>
        <v>5175225000</v>
      </c>
      <c r="K11" s="38"/>
      <c r="L11" s="38"/>
      <c r="M11" s="38"/>
      <c r="N11" s="38"/>
      <c r="O11" s="38"/>
      <c r="P11" s="38"/>
      <c r="Q11" s="38"/>
    </row>
    <row r="12" spans="1:17" ht="14.65" thickBot="1" x14ac:dyDescent="0.5">
      <c r="A12" s="98"/>
      <c r="B12" s="49">
        <v>7</v>
      </c>
      <c r="C12" s="49">
        <v>5.7</v>
      </c>
      <c r="D12" s="14">
        <v>3.25</v>
      </c>
      <c r="E12" s="37">
        <v>149089000000</v>
      </c>
      <c r="F12" s="37">
        <v>0</v>
      </c>
      <c r="G12" s="37">
        <f t="shared" si="0"/>
        <v>4845392500</v>
      </c>
      <c r="H12" s="37">
        <f t="shared" si="1"/>
        <v>0</v>
      </c>
      <c r="I12" s="37">
        <f t="shared" si="2"/>
        <v>0</v>
      </c>
      <c r="J12" s="37">
        <f t="shared" si="3"/>
        <v>4845392500</v>
      </c>
      <c r="K12" s="38"/>
      <c r="L12" s="38"/>
      <c r="M12" s="38"/>
      <c r="N12" s="38"/>
      <c r="O12" s="38"/>
      <c r="P12" s="38"/>
      <c r="Q12" s="38"/>
    </row>
    <row r="13" spans="1:17" ht="14.65" thickBot="1" x14ac:dyDescent="0.5">
      <c r="A13" s="98"/>
      <c r="B13" s="49">
        <v>10</v>
      </c>
      <c r="C13" s="49">
        <v>7.3</v>
      </c>
      <c r="D13" s="14">
        <v>3.75</v>
      </c>
      <c r="E13" s="37">
        <v>0</v>
      </c>
      <c r="F13" s="37">
        <v>19862000000</v>
      </c>
      <c r="G13" s="37">
        <f t="shared" si="0"/>
        <v>0</v>
      </c>
      <c r="H13" s="37">
        <f t="shared" si="1"/>
        <v>744825000</v>
      </c>
      <c r="I13" s="37">
        <f t="shared" si="2"/>
        <v>0</v>
      </c>
      <c r="J13" s="37">
        <f t="shared" si="3"/>
        <v>-744825000</v>
      </c>
      <c r="K13" s="38"/>
      <c r="L13" s="38"/>
      <c r="M13" s="38"/>
      <c r="N13" s="38"/>
      <c r="O13" s="38"/>
      <c r="P13" s="38"/>
      <c r="Q13" s="38"/>
    </row>
    <row r="14" spans="1:17" ht="14.65" thickBot="1" x14ac:dyDescent="0.5">
      <c r="A14" s="98"/>
      <c r="B14" s="49">
        <v>15</v>
      </c>
      <c r="C14" s="49">
        <v>9.3000000000000007</v>
      </c>
      <c r="D14" s="14">
        <v>4.5</v>
      </c>
      <c r="E14" s="37">
        <v>0</v>
      </c>
      <c r="F14" s="37">
        <v>0</v>
      </c>
      <c r="G14" s="37">
        <f t="shared" si="0"/>
        <v>0</v>
      </c>
      <c r="H14" s="37">
        <f t="shared" si="1"/>
        <v>0</v>
      </c>
      <c r="I14" s="37">
        <f t="shared" si="2"/>
        <v>0</v>
      </c>
      <c r="J14" s="37">
        <f t="shared" si="3"/>
        <v>0</v>
      </c>
      <c r="K14" s="38"/>
      <c r="L14" s="38"/>
      <c r="M14" s="38"/>
      <c r="N14" s="38"/>
      <c r="O14" s="38"/>
      <c r="P14" s="38"/>
      <c r="Q14" s="38"/>
    </row>
    <row r="15" spans="1:17" ht="14.65" thickBot="1" x14ac:dyDescent="0.5">
      <c r="A15" s="98"/>
      <c r="B15" s="49">
        <v>20</v>
      </c>
      <c r="C15" s="49">
        <v>10.6</v>
      </c>
      <c r="D15" s="14">
        <v>5.25</v>
      </c>
      <c r="E15" s="37">
        <v>0</v>
      </c>
      <c r="F15" s="37">
        <v>0</v>
      </c>
      <c r="G15" s="37">
        <f t="shared" si="0"/>
        <v>0</v>
      </c>
      <c r="H15" s="37">
        <f t="shared" si="1"/>
        <v>0</v>
      </c>
      <c r="I15" s="37">
        <f t="shared" si="2"/>
        <v>0</v>
      </c>
      <c r="J15" s="37">
        <f t="shared" si="3"/>
        <v>0</v>
      </c>
      <c r="K15" s="38"/>
      <c r="L15" s="38"/>
      <c r="M15" s="38"/>
      <c r="N15" s="38"/>
      <c r="O15" s="38"/>
      <c r="P15" s="38"/>
      <c r="Q15" s="38"/>
    </row>
    <row r="16" spans="1:17" ht="14.65" thickBot="1" x14ac:dyDescent="0.5">
      <c r="A16" s="98"/>
      <c r="B16" s="49">
        <v>1000</v>
      </c>
      <c r="C16" s="49">
        <v>12</v>
      </c>
      <c r="D16" s="14">
        <v>6</v>
      </c>
      <c r="E16" s="37">
        <v>0</v>
      </c>
      <c r="F16" s="37">
        <v>0</v>
      </c>
      <c r="G16" s="37">
        <f t="shared" si="0"/>
        <v>0</v>
      </c>
      <c r="H16" s="37">
        <f t="shared" si="1"/>
        <v>0</v>
      </c>
      <c r="I16" s="37">
        <f t="shared" si="2"/>
        <v>0</v>
      </c>
      <c r="J16" s="37">
        <f t="shared" si="3"/>
        <v>0</v>
      </c>
      <c r="K16" s="38"/>
      <c r="L16" s="38"/>
      <c r="M16" s="38"/>
      <c r="N16" s="38"/>
      <c r="O16" s="38"/>
      <c r="P16" s="38"/>
      <c r="Q16" s="38"/>
    </row>
    <row r="17" spans="1:17" ht="14.65" thickBot="1" x14ac:dyDescent="0.5">
      <c r="A17" s="98"/>
      <c r="B17" s="50"/>
      <c r="C17" s="49">
        <v>20</v>
      </c>
      <c r="D17" s="14">
        <v>8</v>
      </c>
      <c r="E17" s="37">
        <v>0</v>
      </c>
      <c r="F17" s="37">
        <v>0</v>
      </c>
      <c r="G17" s="37">
        <f t="shared" si="0"/>
        <v>0</v>
      </c>
      <c r="H17" s="37">
        <f t="shared" si="1"/>
        <v>0</v>
      </c>
      <c r="I17" s="37">
        <f t="shared" si="2"/>
        <v>0</v>
      </c>
      <c r="J17" s="37">
        <f t="shared" si="3"/>
        <v>0</v>
      </c>
      <c r="K17" s="38"/>
      <c r="L17" s="38"/>
      <c r="M17" s="38"/>
      <c r="N17" s="38"/>
      <c r="O17" s="38"/>
      <c r="P17" s="38"/>
      <c r="Q17" s="38"/>
    </row>
    <row r="18" spans="1:17" ht="14.65" thickBot="1" x14ac:dyDescent="0.5">
      <c r="A18" s="99"/>
      <c r="B18" s="50"/>
      <c r="C18" s="49">
        <v>1000</v>
      </c>
      <c r="D18" s="14">
        <v>12.5</v>
      </c>
      <c r="E18" s="37">
        <v>0</v>
      </c>
      <c r="F18" s="37">
        <v>0</v>
      </c>
      <c r="G18" s="37">
        <f t="shared" si="0"/>
        <v>0</v>
      </c>
      <c r="H18" s="37">
        <f t="shared" si="1"/>
        <v>0</v>
      </c>
      <c r="I18" s="37">
        <f t="shared" si="2"/>
        <v>0</v>
      </c>
      <c r="J18" s="37">
        <f t="shared" si="3"/>
        <v>0</v>
      </c>
      <c r="K18" s="37">
        <f>SUMIF(J11:J18,"&gt;0")</f>
        <v>10020617500</v>
      </c>
      <c r="L18" s="37">
        <f>ABS(SUMIF(J11:J18,"&lt;0"))</f>
        <v>744825000</v>
      </c>
      <c r="M18" s="39">
        <f>MIN(K18,L18)</f>
        <v>744825000</v>
      </c>
      <c r="N18" s="37">
        <f>K18-L18</f>
        <v>9275792500</v>
      </c>
      <c r="O18" s="37"/>
      <c r="P18" s="37"/>
      <c r="Q18" s="37"/>
    </row>
    <row r="19" spans="1:17" ht="14.65" thickBot="1" x14ac:dyDescent="0.5">
      <c r="A19" s="21"/>
      <c r="B19" s="14"/>
      <c r="C19" s="14"/>
      <c r="D19" s="14"/>
      <c r="E19" s="37"/>
      <c r="F19" s="37"/>
      <c r="G19" s="40">
        <f>SUM(G4:G18)</f>
        <v>10056614500</v>
      </c>
      <c r="H19" s="40">
        <f>SUM(H4:H18)</f>
        <v>2268107000</v>
      </c>
      <c r="I19" s="37">
        <f>SUM(I4:I18)</f>
        <v>35997000</v>
      </c>
      <c r="J19" s="37"/>
      <c r="K19" s="37"/>
      <c r="L19" s="37"/>
      <c r="M19" s="37"/>
      <c r="N19" s="37"/>
      <c r="O19" s="37">
        <f>IF(N7*N10&lt;0,MIN(ABS(N7),ABS(N10)),0)</f>
        <v>0</v>
      </c>
      <c r="P19" s="37">
        <f>IF(N10*N18&lt;0,MIN(ABS(N10),ABS(N18)),0)</f>
        <v>10980000</v>
      </c>
      <c r="Q19" s="37">
        <f>IF(N18*N7&lt;0,MIN(ABS(N7),ABS(N18)),0)</f>
        <v>1476305000</v>
      </c>
    </row>
    <row r="20" spans="1:17" ht="14.65" thickBot="1" x14ac:dyDescent="0.5">
      <c r="A20" s="21"/>
      <c r="B20" s="14"/>
      <c r="C20" s="14"/>
      <c r="D20" s="14"/>
      <c r="E20" s="37"/>
      <c r="F20" s="37" t="s">
        <v>99</v>
      </c>
      <c r="G20" s="95">
        <f>ABS(G19-H19)</f>
        <v>7788507500</v>
      </c>
      <c r="H20" s="96"/>
      <c r="I20" s="37" t="s">
        <v>100</v>
      </c>
      <c r="J20" s="37">
        <f>I19*0.1</f>
        <v>3599700</v>
      </c>
      <c r="K20" s="37" t="s">
        <v>105</v>
      </c>
      <c r="L20" s="37">
        <f>M7*0.4+M10*0.3+M18*0.3+O19*0.4+P19*0.4+Q19</f>
        <v>1704144500</v>
      </c>
      <c r="M20" s="42" t="s">
        <v>106</v>
      </c>
      <c r="N20" s="42">
        <f>G20+J20+L20</f>
        <v>9496251700</v>
      </c>
      <c r="O20" s="37"/>
      <c r="P20" s="37"/>
      <c r="Q20" s="37"/>
    </row>
  </sheetData>
  <mergeCells count="13">
    <mergeCell ref="K1:L1"/>
    <mergeCell ref="O1:Q1"/>
    <mergeCell ref="B3:C3"/>
    <mergeCell ref="E3:F3"/>
    <mergeCell ref="G3:H3"/>
    <mergeCell ref="K3:L3"/>
    <mergeCell ref="G20:H20"/>
    <mergeCell ref="A4:A7"/>
    <mergeCell ref="A8:A10"/>
    <mergeCell ref="A11:A18"/>
    <mergeCell ref="B1:C1"/>
    <mergeCell ref="E1:F1"/>
    <mergeCell ref="G1:H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3B22-71C9-4ECA-9649-27E6E9CAF753}">
  <sheetPr codeName="Sheet9"/>
  <dimension ref="A1:R20"/>
  <sheetViews>
    <sheetView zoomScale="175" zoomScaleNormal="175" workbookViewId="0">
      <selection activeCell="L7" sqref="L7"/>
    </sheetView>
  </sheetViews>
  <sheetFormatPr defaultRowHeight="14.25" x14ac:dyDescent="0.45"/>
  <cols>
    <col min="1" max="1" width="5.86328125" bestFit="1" customWidth="1"/>
    <col min="4" max="4" width="9" bestFit="1" customWidth="1"/>
    <col min="5" max="5" width="13.59765625" bestFit="1" customWidth="1"/>
    <col min="6" max="6" width="12.73046875" bestFit="1" customWidth="1"/>
    <col min="7" max="7" width="11.86328125" bestFit="1" customWidth="1"/>
    <col min="8" max="8" width="10.3984375" bestFit="1" customWidth="1"/>
    <col min="9" max="9" width="9.59765625" bestFit="1" customWidth="1"/>
    <col min="10" max="11" width="11.86328125" bestFit="1" customWidth="1"/>
    <col min="12" max="12" width="11.1328125" bestFit="1" customWidth="1"/>
    <col min="13" max="13" width="12.1328125" bestFit="1" customWidth="1"/>
    <col min="14" max="14" width="14.73046875" bestFit="1" customWidth="1"/>
    <col min="15" max="17" width="3.265625" bestFit="1" customWidth="1"/>
    <col min="18" max="18" width="15.1328125" bestFit="1" customWidth="1"/>
  </cols>
  <sheetData>
    <row r="1" spans="1:18" ht="45.75" customHeight="1" thickBot="1" x14ac:dyDescent="0.5">
      <c r="A1" s="16" t="s">
        <v>0</v>
      </c>
      <c r="B1" s="100" t="s">
        <v>109</v>
      </c>
      <c r="C1" s="101"/>
      <c r="D1" s="17" t="s">
        <v>75</v>
      </c>
      <c r="E1" s="100" t="s">
        <v>76</v>
      </c>
      <c r="F1" s="101"/>
      <c r="G1" s="100" t="s">
        <v>77</v>
      </c>
      <c r="H1" s="101"/>
      <c r="I1" s="17" t="s">
        <v>78</v>
      </c>
      <c r="J1" s="17" t="s">
        <v>79</v>
      </c>
      <c r="K1" s="100" t="s">
        <v>80</v>
      </c>
      <c r="L1" s="101"/>
      <c r="M1" s="17" t="s">
        <v>81</v>
      </c>
      <c r="N1" s="17" t="s">
        <v>82</v>
      </c>
      <c r="O1" s="100" t="s">
        <v>83</v>
      </c>
      <c r="P1" s="102"/>
      <c r="Q1" s="101"/>
    </row>
    <row r="2" spans="1:18" ht="14.65" thickBot="1" x14ac:dyDescent="0.5">
      <c r="A2" s="18" t="s">
        <v>84</v>
      </c>
      <c r="B2" s="19" t="s">
        <v>85</v>
      </c>
      <c r="C2" s="19" t="s">
        <v>86</v>
      </c>
      <c r="D2" s="14" t="s">
        <v>73</v>
      </c>
      <c r="E2" s="19" t="s">
        <v>87</v>
      </c>
      <c r="F2" s="19" t="s">
        <v>88</v>
      </c>
      <c r="G2" s="19" t="s">
        <v>87</v>
      </c>
      <c r="H2" s="19" t="s">
        <v>88</v>
      </c>
      <c r="I2" s="14"/>
      <c r="J2" s="14" t="s">
        <v>74</v>
      </c>
      <c r="K2" s="19" t="s">
        <v>87</v>
      </c>
      <c r="L2" s="19" t="s">
        <v>88</v>
      </c>
      <c r="M2" s="14"/>
      <c r="N2" s="14" t="s">
        <v>74</v>
      </c>
      <c r="O2" s="41" t="s">
        <v>102</v>
      </c>
      <c r="P2" s="41" t="s">
        <v>103</v>
      </c>
      <c r="Q2" s="41" t="s">
        <v>104</v>
      </c>
    </row>
    <row r="3" spans="1:18" ht="14.65" thickBot="1" x14ac:dyDescent="0.5">
      <c r="A3" s="20">
        <v>1</v>
      </c>
      <c r="B3" s="103">
        <v>0</v>
      </c>
      <c r="C3" s="104"/>
      <c r="D3" s="15">
        <v>3</v>
      </c>
      <c r="E3" s="103">
        <v>4</v>
      </c>
      <c r="F3" s="104"/>
      <c r="G3" s="103">
        <v>5</v>
      </c>
      <c r="H3" s="104"/>
      <c r="I3" s="15">
        <v>6</v>
      </c>
      <c r="J3" s="15">
        <v>7</v>
      </c>
      <c r="K3" s="103">
        <v>8</v>
      </c>
      <c r="L3" s="104"/>
      <c r="M3" s="15"/>
      <c r="N3" s="15"/>
      <c r="O3" s="15"/>
      <c r="P3" s="15"/>
      <c r="Q3" s="15"/>
    </row>
    <row r="4" spans="1:18" ht="14.65" thickBot="1" x14ac:dyDescent="0.5">
      <c r="A4" s="97" t="s">
        <v>89</v>
      </c>
      <c r="B4" s="48">
        <v>8.3333333333333329E-2</v>
      </c>
      <c r="C4" s="48">
        <v>8.3333333333333329E-2</v>
      </c>
      <c r="D4" s="14">
        <v>0</v>
      </c>
      <c r="E4" s="37">
        <v>677773000000</v>
      </c>
      <c r="F4" s="37">
        <v>0</v>
      </c>
      <c r="G4" s="37">
        <f>E4*D4/100</f>
        <v>0</v>
      </c>
      <c r="H4" s="37">
        <f>F4*D4/100</f>
        <v>0</v>
      </c>
      <c r="I4" s="37">
        <f>MIN(G4,H4)</f>
        <v>0</v>
      </c>
      <c r="J4" s="37">
        <f>G4-H4</f>
        <v>0</v>
      </c>
      <c r="K4" s="38"/>
      <c r="L4" s="38"/>
      <c r="M4" s="38"/>
      <c r="N4" s="38"/>
      <c r="O4" s="38"/>
      <c r="P4" s="38"/>
      <c r="Q4" s="38"/>
      <c r="R4" s="62"/>
    </row>
    <row r="5" spans="1:18" ht="14.65" thickBot="1" x14ac:dyDescent="0.5">
      <c r="A5" s="98"/>
      <c r="B5" s="48">
        <v>0.25</v>
      </c>
      <c r="C5" s="48">
        <v>0.25</v>
      </c>
      <c r="D5" s="14">
        <v>0.2</v>
      </c>
      <c r="E5" s="37">
        <v>301900000000</v>
      </c>
      <c r="F5" s="37">
        <v>14876000000</v>
      </c>
      <c r="G5" s="37">
        <f t="shared" ref="G5:G18" si="0">E5*D5/100</f>
        <v>603800000</v>
      </c>
      <c r="H5" s="37">
        <f t="shared" ref="H5:H18" si="1">F5*D5/100</f>
        <v>29752000</v>
      </c>
      <c r="I5" s="37">
        <f t="shared" ref="I5:I18" si="2">MIN(G5,H5)</f>
        <v>29752000</v>
      </c>
      <c r="J5" s="37">
        <f t="shared" ref="J5:J18" si="3">G5-H5</f>
        <v>574048000</v>
      </c>
      <c r="K5" s="38"/>
      <c r="L5" s="38"/>
      <c r="M5" s="38"/>
      <c r="N5" s="38"/>
      <c r="O5" s="38"/>
      <c r="P5" s="38"/>
      <c r="Q5" s="38"/>
    </row>
    <row r="6" spans="1:18" ht="14.65" thickBot="1" x14ac:dyDescent="0.5">
      <c r="A6" s="98"/>
      <c r="B6" s="48">
        <v>0.5</v>
      </c>
      <c r="C6" s="48">
        <v>0.5</v>
      </c>
      <c r="D6" s="14">
        <v>0.4</v>
      </c>
      <c r="E6" s="37">
        <v>186991000000</v>
      </c>
      <c r="F6" s="37">
        <v>953000000</v>
      </c>
      <c r="G6" s="37">
        <f t="shared" si="0"/>
        <v>747964000</v>
      </c>
      <c r="H6" s="37">
        <f t="shared" si="1"/>
        <v>3812000</v>
      </c>
      <c r="I6" s="37">
        <f t="shared" si="2"/>
        <v>3812000</v>
      </c>
      <c r="J6" s="37">
        <f t="shared" si="3"/>
        <v>744152000</v>
      </c>
      <c r="K6" s="38"/>
      <c r="L6" s="38"/>
      <c r="M6" s="38"/>
      <c r="N6" s="38"/>
      <c r="O6" s="38"/>
      <c r="P6" s="38"/>
      <c r="Q6" s="38"/>
    </row>
    <row r="7" spans="1:18" ht="14.65" thickBot="1" x14ac:dyDescent="0.5">
      <c r="A7" s="99"/>
      <c r="B7" s="49">
        <v>1</v>
      </c>
      <c r="C7" s="49">
        <v>1</v>
      </c>
      <c r="D7" s="14">
        <v>0.7</v>
      </c>
      <c r="E7" s="37">
        <v>1222000000</v>
      </c>
      <c r="F7" s="37">
        <v>368000000</v>
      </c>
      <c r="G7" s="37">
        <f t="shared" si="0"/>
        <v>8554000</v>
      </c>
      <c r="H7" s="37">
        <f t="shared" si="1"/>
        <v>2575999.9999999995</v>
      </c>
      <c r="I7" s="37">
        <f t="shared" si="2"/>
        <v>2575999.9999999995</v>
      </c>
      <c r="J7" s="37">
        <f t="shared" si="3"/>
        <v>5978000</v>
      </c>
      <c r="K7" s="37">
        <f>SUMIF(J4:J7,"&gt;0")</f>
        <v>1324178000</v>
      </c>
      <c r="L7" s="37">
        <f>ABS(SUMIF(J4:J7,"&lt;0"))</f>
        <v>0</v>
      </c>
      <c r="M7" s="39">
        <f>MIN(K7,L7)</f>
        <v>0</v>
      </c>
      <c r="N7" s="37">
        <f>K7-L7</f>
        <v>1324178000</v>
      </c>
      <c r="O7" s="37"/>
      <c r="P7" s="37"/>
      <c r="Q7" s="37"/>
    </row>
    <row r="8" spans="1:18" ht="14.65" thickBot="1" x14ac:dyDescent="0.5">
      <c r="A8" s="97" t="s">
        <v>90</v>
      </c>
      <c r="B8" s="49">
        <v>2</v>
      </c>
      <c r="C8" s="49">
        <v>1.9</v>
      </c>
      <c r="D8" s="14">
        <v>1.25</v>
      </c>
      <c r="E8" s="37">
        <v>0</v>
      </c>
      <c r="F8" s="37">
        <v>0</v>
      </c>
      <c r="G8" s="37">
        <f t="shared" si="0"/>
        <v>0</v>
      </c>
      <c r="H8" s="37">
        <f t="shared" si="1"/>
        <v>0</v>
      </c>
      <c r="I8" s="37">
        <f t="shared" si="2"/>
        <v>0</v>
      </c>
      <c r="J8" s="37">
        <f t="shared" si="3"/>
        <v>0</v>
      </c>
      <c r="K8" s="38"/>
      <c r="L8" s="38"/>
      <c r="M8" s="38"/>
      <c r="N8" s="38"/>
      <c r="O8" s="38"/>
      <c r="P8" s="38"/>
      <c r="Q8" s="38"/>
    </row>
    <row r="9" spans="1:18" ht="14.65" thickBot="1" x14ac:dyDescent="0.5">
      <c r="A9" s="98"/>
      <c r="B9" s="49">
        <v>3</v>
      </c>
      <c r="C9" s="49">
        <v>2.8</v>
      </c>
      <c r="D9" s="14">
        <v>1.75</v>
      </c>
      <c r="E9" s="37">
        <v>0</v>
      </c>
      <c r="F9" s="37">
        <v>0</v>
      </c>
      <c r="G9" s="37">
        <f t="shared" si="0"/>
        <v>0</v>
      </c>
      <c r="H9" s="37">
        <f t="shared" si="1"/>
        <v>0</v>
      </c>
      <c r="I9" s="37">
        <f t="shared" si="2"/>
        <v>0</v>
      </c>
      <c r="J9" s="37">
        <f t="shared" si="3"/>
        <v>0</v>
      </c>
      <c r="K9" s="38"/>
      <c r="L9" s="38"/>
      <c r="M9" s="38"/>
      <c r="N9" s="38"/>
      <c r="O9" s="38"/>
      <c r="P9" s="38"/>
      <c r="Q9" s="38"/>
    </row>
    <row r="10" spans="1:18" ht="14.65" thickBot="1" x14ac:dyDescent="0.5">
      <c r="A10" s="99"/>
      <c r="B10" s="49">
        <v>4</v>
      </c>
      <c r="C10" s="49">
        <v>3.6</v>
      </c>
      <c r="D10" s="14">
        <v>2.25</v>
      </c>
      <c r="E10" s="37">
        <v>485000000</v>
      </c>
      <c r="F10" s="37">
        <v>0</v>
      </c>
      <c r="G10" s="37">
        <f t="shared" si="0"/>
        <v>10912500</v>
      </c>
      <c r="H10" s="37">
        <f t="shared" si="1"/>
        <v>0</v>
      </c>
      <c r="I10" s="37">
        <f t="shared" si="2"/>
        <v>0</v>
      </c>
      <c r="J10" s="37">
        <f t="shared" si="3"/>
        <v>10912500</v>
      </c>
      <c r="K10" s="37">
        <f>SUMIF(J8:J10,"&gt;0")</f>
        <v>10912500</v>
      </c>
      <c r="L10" s="37">
        <f>ABS(SUMIF(J8:J10,"&lt;0"))</f>
        <v>0</v>
      </c>
      <c r="M10" s="39">
        <f>MIN(K10,L10)</f>
        <v>0</v>
      </c>
      <c r="N10" s="37">
        <f>K10-L10</f>
        <v>10912500</v>
      </c>
      <c r="O10" s="37"/>
      <c r="P10" s="37"/>
      <c r="Q10" s="37"/>
    </row>
    <row r="11" spans="1:18" ht="14.65" thickBot="1" x14ac:dyDescent="0.5">
      <c r="A11" s="97" t="s">
        <v>91</v>
      </c>
      <c r="B11" s="49">
        <v>5</v>
      </c>
      <c r="C11" s="49">
        <v>4.3</v>
      </c>
      <c r="D11" s="14">
        <v>2.75</v>
      </c>
      <c r="E11" s="37">
        <v>0</v>
      </c>
      <c r="F11" s="37">
        <v>23360000000</v>
      </c>
      <c r="G11" s="37">
        <f t="shared" si="0"/>
        <v>0</v>
      </c>
      <c r="H11" s="37">
        <f t="shared" si="1"/>
        <v>642400000</v>
      </c>
      <c r="I11" s="37">
        <f t="shared" si="2"/>
        <v>0</v>
      </c>
      <c r="J11" s="37">
        <f t="shared" si="3"/>
        <v>-642400000</v>
      </c>
      <c r="K11" s="38"/>
      <c r="L11" s="38"/>
      <c r="M11" s="38"/>
      <c r="N11" s="38"/>
      <c r="O11" s="38"/>
      <c r="P11" s="38"/>
      <c r="Q11" s="38"/>
    </row>
    <row r="12" spans="1:18" ht="14.65" thickBot="1" x14ac:dyDescent="0.5">
      <c r="A12" s="98"/>
      <c r="B12" s="49">
        <v>7</v>
      </c>
      <c r="C12" s="49">
        <v>5.7</v>
      </c>
      <c r="D12" s="14">
        <v>3.25</v>
      </c>
      <c r="E12" s="37">
        <v>150000000000</v>
      </c>
      <c r="F12" s="37">
        <v>0</v>
      </c>
      <c r="G12" s="37">
        <f t="shared" si="0"/>
        <v>4875000000</v>
      </c>
      <c r="H12" s="37">
        <f t="shared" si="1"/>
        <v>0</v>
      </c>
      <c r="I12" s="37">
        <f t="shared" si="2"/>
        <v>0</v>
      </c>
      <c r="J12" s="37">
        <f t="shared" si="3"/>
        <v>4875000000</v>
      </c>
      <c r="K12" s="38"/>
      <c r="L12" s="38"/>
      <c r="M12" s="38"/>
      <c r="N12" s="38"/>
      <c r="O12" s="38"/>
      <c r="P12" s="38"/>
      <c r="Q12" s="38"/>
    </row>
    <row r="13" spans="1:18" ht="14.65" thickBot="1" x14ac:dyDescent="0.5">
      <c r="A13" s="98"/>
      <c r="B13" s="49">
        <v>10</v>
      </c>
      <c r="C13" s="49">
        <v>7.3</v>
      </c>
      <c r="D13" s="14">
        <v>3.75</v>
      </c>
      <c r="E13" s="37">
        <v>45985000000</v>
      </c>
      <c r="F13" s="37">
        <v>0</v>
      </c>
      <c r="G13" s="37">
        <f t="shared" si="0"/>
        <v>1724437500</v>
      </c>
      <c r="H13" s="37">
        <f t="shared" si="1"/>
        <v>0</v>
      </c>
      <c r="I13" s="37">
        <f t="shared" si="2"/>
        <v>0</v>
      </c>
      <c r="J13" s="37">
        <f t="shared" si="3"/>
        <v>1724437500</v>
      </c>
      <c r="K13" s="38"/>
      <c r="L13" s="38"/>
      <c r="M13" s="38"/>
      <c r="N13" s="38"/>
      <c r="O13" s="38"/>
      <c r="P13" s="38"/>
      <c r="Q13" s="38"/>
    </row>
    <row r="14" spans="1:18" ht="14.65" thickBot="1" x14ac:dyDescent="0.5">
      <c r="A14" s="98"/>
      <c r="B14" s="49">
        <v>15</v>
      </c>
      <c r="C14" s="49">
        <v>9.3000000000000007</v>
      </c>
      <c r="D14" s="14">
        <v>4.5</v>
      </c>
      <c r="E14" s="37">
        <v>0</v>
      </c>
      <c r="F14" s="37">
        <v>0</v>
      </c>
      <c r="G14" s="37">
        <f t="shared" si="0"/>
        <v>0</v>
      </c>
      <c r="H14" s="37">
        <f t="shared" si="1"/>
        <v>0</v>
      </c>
      <c r="I14" s="37">
        <f t="shared" si="2"/>
        <v>0</v>
      </c>
      <c r="J14" s="37">
        <f t="shared" si="3"/>
        <v>0</v>
      </c>
      <c r="K14" s="38"/>
      <c r="L14" s="38"/>
      <c r="M14" s="38"/>
      <c r="N14" s="38"/>
      <c r="O14" s="38"/>
      <c r="P14" s="38"/>
      <c r="Q14" s="38"/>
    </row>
    <row r="15" spans="1:18" ht="14.65" thickBot="1" x14ac:dyDescent="0.5">
      <c r="A15" s="98"/>
      <c r="B15" s="49">
        <v>20</v>
      </c>
      <c r="C15" s="49">
        <v>10.6</v>
      </c>
      <c r="D15" s="14">
        <v>5.25</v>
      </c>
      <c r="E15" s="37">
        <v>0</v>
      </c>
      <c r="F15" s="37">
        <v>0</v>
      </c>
      <c r="G15" s="37">
        <f t="shared" si="0"/>
        <v>0</v>
      </c>
      <c r="H15" s="37">
        <f t="shared" si="1"/>
        <v>0</v>
      </c>
      <c r="I15" s="37">
        <f t="shared" si="2"/>
        <v>0</v>
      </c>
      <c r="J15" s="37">
        <f t="shared" si="3"/>
        <v>0</v>
      </c>
      <c r="K15" s="38"/>
      <c r="L15" s="38"/>
      <c r="M15" s="38"/>
      <c r="N15" s="38"/>
      <c r="O15" s="38"/>
      <c r="P15" s="38"/>
      <c r="Q15" s="38"/>
    </row>
    <row r="16" spans="1:18" ht="14.65" thickBot="1" x14ac:dyDescent="0.5">
      <c r="A16" s="98"/>
      <c r="B16" s="49">
        <v>1000</v>
      </c>
      <c r="C16" s="49">
        <v>12</v>
      </c>
      <c r="D16" s="14">
        <v>6</v>
      </c>
      <c r="E16" s="37">
        <v>0</v>
      </c>
      <c r="F16" s="37">
        <v>0</v>
      </c>
      <c r="G16" s="37">
        <f t="shared" si="0"/>
        <v>0</v>
      </c>
      <c r="H16" s="37">
        <f t="shared" si="1"/>
        <v>0</v>
      </c>
      <c r="I16" s="37">
        <f t="shared" si="2"/>
        <v>0</v>
      </c>
      <c r="J16" s="37">
        <f t="shared" si="3"/>
        <v>0</v>
      </c>
      <c r="K16" s="38"/>
      <c r="L16" s="38"/>
      <c r="M16" s="38"/>
      <c r="N16" s="38"/>
      <c r="O16" s="38"/>
      <c r="P16" s="38"/>
      <c r="Q16" s="38"/>
    </row>
    <row r="17" spans="1:17" ht="14.65" thickBot="1" x14ac:dyDescent="0.5">
      <c r="A17" s="98"/>
      <c r="B17" s="50"/>
      <c r="C17" s="49">
        <v>20</v>
      </c>
      <c r="D17" s="14">
        <v>8</v>
      </c>
      <c r="E17" s="37">
        <v>0</v>
      </c>
      <c r="F17" s="37">
        <v>0</v>
      </c>
      <c r="G17" s="37">
        <f t="shared" si="0"/>
        <v>0</v>
      </c>
      <c r="H17" s="37">
        <f t="shared" si="1"/>
        <v>0</v>
      </c>
      <c r="I17" s="37">
        <f t="shared" si="2"/>
        <v>0</v>
      </c>
      <c r="J17" s="37">
        <f t="shared" si="3"/>
        <v>0</v>
      </c>
      <c r="K17" s="38"/>
      <c r="L17" s="38"/>
      <c r="M17" s="38"/>
      <c r="N17" s="38"/>
      <c r="O17" s="38"/>
      <c r="P17" s="38"/>
      <c r="Q17" s="38"/>
    </row>
    <row r="18" spans="1:17" ht="14.65" thickBot="1" x14ac:dyDescent="0.5">
      <c r="A18" s="99"/>
      <c r="B18" s="50"/>
      <c r="C18" s="49">
        <v>1000</v>
      </c>
      <c r="D18" s="14">
        <v>12.5</v>
      </c>
      <c r="E18" s="37">
        <v>0</v>
      </c>
      <c r="F18" s="37">
        <v>0</v>
      </c>
      <c r="G18" s="37">
        <f t="shared" si="0"/>
        <v>0</v>
      </c>
      <c r="H18" s="37">
        <f t="shared" si="1"/>
        <v>0</v>
      </c>
      <c r="I18" s="37">
        <f t="shared" si="2"/>
        <v>0</v>
      </c>
      <c r="J18" s="37">
        <f t="shared" si="3"/>
        <v>0</v>
      </c>
      <c r="K18" s="37">
        <f>SUMIF(J11:J18,"&gt;0")</f>
        <v>6599437500</v>
      </c>
      <c r="L18" s="37">
        <f>ABS(SUMIF(J11:J18,"&lt;0"))</f>
        <v>642400000</v>
      </c>
      <c r="M18" s="39">
        <f>MIN(K18,L18)</f>
        <v>642400000</v>
      </c>
      <c r="N18" s="37">
        <f>K18-L18</f>
        <v>5957037500</v>
      </c>
      <c r="O18" s="37"/>
      <c r="P18" s="37"/>
      <c r="Q18" s="37"/>
    </row>
    <row r="19" spans="1:17" ht="14.65" thickBot="1" x14ac:dyDescent="0.5">
      <c r="A19" s="21"/>
      <c r="B19" s="14"/>
      <c r="C19" s="14"/>
      <c r="D19" s="14"/>
      <c r="E19" s="37"/>
      <c r="F19" s="37"/>
      <c r="G19" s="40">
        <f>SUM(G4:G18)</f>
        <v>7970668000</v>
      </c>
      <c r="H19" s="40">
        <f>SUM(H4:H18)</f>
        <v>678540000</v>
      </c>
      <c r="I19" s="37">
        <f>SUM(I4:I18)</f>
        <v>36140000</v>
      </c>
      <c r="J19" s="37"/>
      <c r="K19" s="37"/>
      <c r="L19" s="37"/>
      <c r="M19" s="37"/>
      <c r="N19" s="37"/>
      <c r="O19" s="37">
        <f>IF(N7*N10&lt;0,MIN(ABS(N7),ABS(N10)),0)</f>
        <v>0</v>
      </c>
      <c r="P19" s="37">
        <f>IF(N10*N18&lt;0,MIN(ABS(N10),ABS(N18)),0)</f>
        <v>0</v>
      </c>
      <c r="Q19" s="37">
        <f>IF(N18*N7&lt;0,MIN(ABS(N7),ABS(N18)),0)</f>
        <v>0</v>
      </c>
    </row>
    <row r="20" spans="1:17" ht="14.65" thickBot="1" x14ac:dyDescent="0.5">
      <c r="A20" s="21"/>
      <c r="B20" s="14"/>
      <c r="C20" s="14"/>
      <c r="D20" s="14"/>
      <c r="E20" s="37"/>
      <c r="F20" s="37" t="s">
        <v>99</v>
      </c>
      <c r="G20" s="95">
        <f>ABS(G19-H19)</f>
        <v>7292128000</v>
      </c>
      <c r="H20" s="96"/>
      <c r="I20" s="37" t="s">
        <v>100</v>
      </c>
      <c r="J20" s="37">
        <f>I19*0.1</f>
        <v>3614000</v>
      </c>
      <c r="K20" s="37" t="s">
        <v>105</v>
      </c>
      <c r="L20" s="37">
        <f>M7*0.4+M10*0.3+M18*0.3+O19*0.4+P19*0.4+Q19</f>
        <v>192720000</v>
      </c>
      <c r="M20" s="42" t="s">
        <v>106</v>
      </c>
      <c r="N20" s="42">
        <f>G20+J20+L20</f>
        <v>7488462000</v>
      </c>
      <c r="O20" s="37"/>
      <c r="P20" s="37"/>
      <c r="Q20" s="37"/>
    </row>
  </sheetData>
  <mergeCells count="13">
    <mergeCell ref="K1:L1"/>
    <mergeCell ref="O1:Q1"/>
    <mergeCell ref="B3:C3"/>
    <mergeCell ref="E3:F3"/>
    <mergeCell ref="G3:H3"/>
    <mergeCell ref="K3:L3"/>
    <mergeCell ref="A4:A7"/>
    <mergeCell ref="A8:A10"/>
    <mergeCell ref="A11:A18"/>
    <mergeCell ref="G20:H20"/>
    <mergeCell ref="B1:C1"/>
    <mergeCell ref="E1:F1"/>
    <mergeCell ref="G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B209A-3613-4C94-8B70-7B58AA87B9BF}">
  <sheetPr codeName="Sheet4"/>
  <dimension ref="A1:B5"/>
  <sheetViews>
    <sheetView workbookViewId="0">
      <selection activeCell="A5" sqref="A5"/>
    </sheetView>
  </sheetViews>
  <sheetFormatPr defaultRowHeight="14.25" x14ac:dyDescent="0.45"/>
  <cols>
    <col min="1" max="1" width="16.86328125" customWidth="1"/>
    <col min="2" max="2" width="77.3984375" bestFit="1" customWidth="1"/>
  </cols>
  <sheetData>
    <row r="1" spans="1:2" x14ac:dyDescent="0.45">
      <c r="A1" t="s">
        <v>22</v>
      </c>
      <c r="B1" t="s">
        <v>24</v>
      </c>
    </row>
    <row r="2" spans="1:2" x14ac:dyDescent="0.45">
      <c r="A2" t="s">
        <v>23</v>
      </c>
      <c r="B2" t="s">
        <v>25</v>
      </c>
    </row>
    <row r="3" spans="1:2" x14ac:dyDescent="0.45">
      <c r="A3" t="s">
        <v>27</v>
      </c>
      <c r="B3" t="s">
        <v>26</v>
      </c>
    </row>
    <row r="4" spans="1:2" x14ac:dyDescent="0.45">
      <c r="A4" t="s">
        <v>29</v>
      </c>
      <c r="B4" t="s">
        <v>28</v>
      </c>
    </row>
    <row r="5" spans="1:2" x14ac:dyDescent="0.45">
      <c r="A5" t="s">
        <v>30</v>
      </c>
      <c r="B5" t="s">
        <v>31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F4A95-B9D5-41BD-91D2-61E665847C15}">
  <sheetPr codeName="Sheet6"/>
  <dimension ref="A1:D26"/>
  <sheetViews>
    <sheetView workbookViewId="0">
      <selection activeCell="G5" sqref="G5"/>
    </sheetView>
  </sheetViews>
  <sheetFormatPr defaultRowHeight="14.25" x14ac:dyDescent="0.45"/>
  <cols>
    <col min="1" max="1" width="7.265625" customWidth="1"/>
    <col min="2" max="3" width="19.73046875" bestFit="1" customWidth="1"/>
  </cols>
  <sheetData>
    <row r="1" spans="1:4" x14ac:dyDescent="0.45">
      <c r="A1" t="s">
        <v>72</v>
      </c>
      <c r="B1" t="s">
        <v>71</v>
      </c>
      <c r="C1" t="s">
        <v>70</v>
      </c>
      <c r="D1" t="s">
        <v>69</v>
      </c>
    </row>
    <row r="2" spans="1:4" x14ac:dyDescent="0.45">
      <c r="A2">
        <v>1</v>
      </c>
      <c r="B2" t="s">
        <v>67</v>
      </c>
      <c r="C2" t="s">
        <v>68</v>
      </c>
      <c r="D2" t="s">
        <v>67</v>
      </c>
    </row>
    <row r="3" spans="1:4" x14ac:dyDescent="0.45">
      <c r="A3">
        <v>2</v>
      </c>
      <c r="B3" t="s">
        <v>65</v>
      </c>
      <c r="C3" t="s">
        <v>66</v>
      </c>
      <c r="D3" t="s">
        <v>65</v>
      </c>
    </row>
    <row r="4" spans="1:4" x14ac:dyDescent="0.45">
      <c r="A4">
        <v>3</v>
      </c>
      <c r="B4" t="s">
        <v>63</v>
      </c>
      <c r="C4" t="s">
        <v>64</v>
      </c>
      <c r="D4" t="s">
        <v>63</v>
      </c>
    </row>
    <row r="5" spans="1:4" x14ac:dyDescent="0.45">
      <c r="A5">
        <v>4</v>
      </c>
      <c r="B5" t="s">
        <v>61</v>
      </c>
      <c r="C5" t="s">
        <v>62</v>
      </c>
      <c r="D5" t="s">
        <v>61</v>
      </c>
    </row>
    <row r="6" spans="1:4" x14ac:dyDescent="0.45">
      <c r="A6">
        <v>5</v>
      </c>
      <c r="B6" t="s">
        <v>59</v>
      </c>
      <c r="C6" t="s">
        <v>60</v>
      </c>
      <c r="D6" t="s">
        <v>59</v>
      </c>
    </row>
    <row r="7" spans="1:4" x14ac:dyDescent="0.45">
      <c r="A7">
        <v>6</v>
      </c>
      <c r="B7" t="s">
        <v>57</v>
      </c>
      <c r="C7" t="s">
        <v>58</v>
      </c>
      <c r="D7" t="s">
        <v>57</v>
      </c>
    </row>
    <row r="8" spans="1:4" x14ac:dyDescent="0.45">
      <c r="A8">
        <v>7</v>
      </c>
      <c r="B8" t="s">
        <v>55</v>
      </c>
      <c r="C8" t="s">
        <v>56</v>
      </c>
      <c r="D8" t="s">
        <v>55</v>
      </c>
    </row>
    <row r="9" spans="1:4" x14ac:dyDescent="0.45">
      <c r="A9">
        <v>8</v>
      </c>
      <c r="B9" t="s">
        <v>54</v>
      </c>
      <c r="C9" t="s">
        <v>5</v>
      </c>
      <c r="D9" t="s">
        <v>54</v>
      </c>
    </row>
    <row r="10" spans="1:4" x14ac:dyDescent="0.45">
      <c r="A10">
        <v>9</v>
      </c>
      <c r="B10" t="s">
        <v>53</v>
      </c>
      <c r="C10" t="s">
        <v>9</v>
      </c>
      <c r="D10" t="s">
        <v>53</v>
      </c>
    </row>
    <row r="11" spans="1:4" x14ac:dyDescent="0.45">
      <c r="A11">
        <v>10</v>
      </c>
      <c r="B11" t="s">
        <v>2</v>
      </c>
      <c r="C11" t="s">
        <v>3</v>
      </c>
      <c r="D11" t="s">
        <v>2</v>
      </c>
    </row>
    <row r="12" spans="1:4" x14ac:dyDescent="0.45">
      <c r="A12">
        <v>11</v>
      </c>
      <c r="B12" t="s">
        <v>51</v>
      </c>
      <c r="C12" t="s">
        <v>52</v>
      </c>
      <c r="D12" t="s">
        <v>51</v>
      </c>
    </row>
    <row r="13" spans="1:4" x14ac:dyDescent="0.45">
      <c r="A13">
        <v>12</v>
      </c>
      <c r="B13" t="s">
        <v>49</v>
      </c>
      <c r="C13" t="s">
        <v>50</v>
      </c>
      <c r="D13" t="s">
        <v>49</v>
      </c>
    </row>
    <row r="14" spans="1:4" x14ac:dyDescent="0.45">
      <c r="A14">
        <v>13</v>
      </c>
      <c r="B14" t="s">
        <v>48</v>
      </c>
      <c r="C14" t="s">
        <v>8</v>
      </c>
      <c r="D14" t="s">
        <v>48</v>
      </c>
    </row>
    <row r="15" spans="1:4" x14ac:dyDescent="0.45">
      <c r="A15">
        <v>14</v>
      </c>
      <c r="B15" t="s">
        <v>47</v>
      </c>
      <c r="C15" t="s">
        <v>4</v>
      </c>
      <c r="D15" t="s">
        <v>47</v>
      </c>
    </row>
    <row r="16" spans="1:4" x14ac:dyDescent="0.45">
      <c r="A16">
        <v>15</v>
      </c>
      <c r="B16" t="s">
        <v>46</v>
      </c>
      <c r="C16" t="s">
        <v>7</v>
      </c>
      <c r="D16" t="s">
        <v>46</v>
      </c>
    </row>
    <row r="17" spans="1:4" x14ac:dyDescent="0.45">
      <c r="A17">
        <v>16</v>
      </c>
      <c r="B17" t="s">
        <v>45</v>
      </c>
      <c r="C17" t="s">
        <v>6</v>
      </c>
      <c r="D17" t="s">
        <v>45</v>
      </c>
    </row>
    <row r="18" spans="1:4" x14ac:dyDescent="0.45">
      <c r="A18">
        <v>17</v>
      </c>
      <c r="B18" t="s">
        <v>43</v>
      </c>
      <c r="C18" t="s">
        <v>44</v>
      </c>
      <c r="D18" t="s">
        <v>43</v>
      </c>
    </row>
    <row r="19" spans="1:4" x14ac:dyDescent="0.45">
      <c r="A19">
        <v>17</v>
      </c>
      <c r="B19" t="s">
        <v>41</v>
      </c>
      <c r="C19" t="s">
        <v>42</v>
      </c>
      <c r="D19" t="s">
        <v>41</v>
      </c>
    </row>
    <row r="20" spans="1:4" x14ac:dyDescent="0.45">
      <c r="A20">
        <v>17</v>
      </c>
      <c r="B20" t="s">
        <v>39</v>
      </c>
      <c r="C20" t="s">
        <v>40</v>
      </c>
      <c r="D20" t="s">
        <v>39</v>
      </c>
    </row>
    <row r="21" spans="1:4" x14ac:dyDescent="0.45">
      <c r="A21">
        <v>17</v>
      </c>
      <c r="B21" s="6" t="s">
        <v>37</v>
      </c>
      <c r="C21" s="6" t="s">
        <v>38</v>
      </c>
      <c r="D21" s="6" t="s">
        <v>37</v>
      </c>
    </row>
    <row r="22" spans="1:4" x14ac:dyDescent="0.45">
      <c r="A22">
        <v>17</v>
      </c>
      <c r="B22" s="6" t="s">
        <v>36</v>
      </c>
      <c r="C22" s="6" t="s">
        <v>36</v>
      </c>
      <c r="D22" s="6" t="s">
        <v>36</v>
      </c>
    </row>
    <row r="23" spans="1:4" x14ac:dyDescent="0.45">
      <c r="A23">
        <v>17</v>
      </c>
      <c r="B23" s="6" t="s">
        <v>35</v>
      </c>
      <c r="C23" s="6"/>
      <c r="D23" s="6" t="s">
        <v>34</v>
      </c>
    </row>
    <row r="24" spans="1:4" x14ac:dyDescent="0.45">
      <c r="A24">
        <v>17</v>
      </c>
      <c r="B24" s="6" t="s">
        <v>33</v>
      </c>
      <c r="C24" s="6"/>
      <c r="D24" s="6" t="s">
        <v>32</v>
      </c>
    </row>
    <row r="25" spans="1:4" x14ac:dyDescent="0.45">
      <c r="A25">
        <v>17</v>
      </c>
      <c r="B25" s="6" t="s">
        <v>32</v>
      </c>
      <c r="C25" s="6"/>
      <c r="D25" s="6"/>
    </row>
    <row r="26" spans="1:4" x14ac:dyDescent="0.45">
      <c r="A26">
        <v>18</v>
      </c>
      <c r="B26" s="6" t="s">
        <v>18</v>
      </c>
      <c r="C26" s="6" t="s">
        <v>18</v>
      </c>
      <c r="D26" s="6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7073E-6DF5-472F-9527-C1A708A692F6}">
  <sheetPr codeName="Sheet5"/>
  <dimension ref="A1:F15"/>
  <sheetViews>
    <sheetView zoomScale="175" zoomScaleNormal="175" workbookViewId="0">
      <selection activeCell="F1" sqref="F1"/>
    </sheetView>
  </sheetViews>
  <sheetFormatPr defaultRowHeight="14.25" x14ac:dyDescent="0.45"/>
  <cols>
    <col min="2" max="2" width="9.86328125" bestFit="1" customWidth="1"/>
    <col min="3" max="3" width="23.73046875" bestFit="1" customWidth="1"/>
    <col min="4" max="4" width="6.265625" bestFit="1" customWidth="1"/>
  </cols>
  <sheetData>
    <row r="1" spans="1:6" ht="51.4" thickBot="1" x14ac:dyDescent="0.5">
      <c r="A1" s="22" t="s">
        <v>92</v>
      </c>
      <c r="B1" s="23" t="s">
        <v>110</v>
      </c>
      <c r="C1" s="23" t="s">
        <v>94</v>
      </c>
      <c r="D1" s="24" t="s">
        <v>93</v>
      </c>
      <c r="F1" s="55" t="s">
        <v>121</v>
      </c>
    </row>
    <row r="2" spans="1:6" ht="14.65" thickBot="1" x14ac:dyDescent="0.5">
      <c r="A2" s="46" t="s">
        <v>23</v>
      </c>
      <c r="B2" s="51"/>
      <c r="C2" s="51"/>
      <c r="D2" s="52">
        <v>0</v>
      </c>
      <c r="F2">
        <v>1</v>
      </c>
    </row>
    <row r="3" spans="1:6" ht="14.65" thickBot="1" x14ac:dyDescent="0.5">
      <c r="A3" s="105" t="s">
        <v>27</v>
      </c>
      <c r="B3" s="25">
        <v>5</v>
      </c>
      <c r="C3" s="25"/>
      <c r="D3" s="26">
        <v>0</v>
      </c>
    </row>
    <row r="4" spans="1:6" ht="25.9" thickBot="1" x14ac:dyDescent="0.5">
      <c r="A4" s="106"/>
      <c r="B4" s="105">
        <v>11</v>
      </c>
      <c r="C4" s="25" t="s">
        <v>95</v>
      </c>
      <c r="D4" s="28">
        <v>2.5000000000000001E-3</v>
      </c>
    </row>
    <row r="5" spans="1:6" ht="51.4" thickBot="1" x14ac:dyDescent="0.5">
      <c r="A5" s="106"/>
      <c r="B5" s="106"/>
      <c r="C5" s="27" t="s">
        <v>96</v>
      </c>
      <c r="D5" s="29">
        <v>0.01</v>
      </c>
    </row>
    <row r="6" spans="1:6" ht="38.65" thickBot="1" x14ac:dyDescent="0.5">
      <c r="A6" s="106"/>
      <c r="B6" s="107"/>
      <c r="C6" s="27" t="s">
        <v>97</v>
      </c>
      <c r="D6" s="28">
        <v>1.6E-2</v>
      </c>
    </row>
    <row r="7" spans="1:6" ht="14.65" thickBot="1" x14ac:dyDescent="0.5">
      <c r="A7" s="106"/>
      <c r="B7" s="25">
        <v>17</v>
      </c>
      <c r="C7" s="25"/>
      <c r="D7" s="26">
        <v>0.08</v>
      </c>
    </row>
    <row r="8" spans="1:6" ht="14.65" thickBot="1" x14ac:dyDescent="0.5">
      <c r="A8" s="106"/>
      <c r="B8" s="25">
        <v>18</v>
      </c>
      <c r="C8" s="25"/>
      <c r="D8" s="26">
        <v>0.12</v>
      </c>
    </row>
    <row r="9" spans="1:6" ht="14.65" thickBot="1" x14ac:dyDescent="0.5">
      <c r="A9" s="107"/>
      <c r="B9" s="25">
        <v>19</v>
      </c>
      <c r="C9" s="30"/>
      <c r="D9" s="26">
        <v>0.12</v>
      </c>
    </row>
    <row r="10" spans="1:6" ht="25.9" thickBot="1" x14ac:dyDescent="0.5">
      <c r="A10" s="105" t="s">
        <v>111</v>
      </c>
      <c r="B10" s="108"/>
      <c r="C10" s="25" t="s">
        <v>95</v>
      </c>
      <c r="D10" s="31">
        <v>2.5000000000000001E-3</v>
      </c>
    </row>
    <row r="11" spans="1:6" ht="51.4" thickBot="1" x14ac:dyDescent="0.5">
      <c r="A11" s="106"/>
      <c r="B11" s="109"/>
      <c r="C11" s="25" t="s">
        <v>96</v>
      </c>
      <c r="D11" s="33">
        <v>0.01</v>
      </c>
    </row>
    <row r="12" spans="1:6" ht="38.65" thickBot="1" x14ac:dyDescent="0.5">
      <c r="A12" s="107"/>
      <c r="B12" s="110"/>
      <c r="C12" s="25" t="s">
        <v>97</v>
      </c>
      <c r="D12" s="31">
        <v>1.6E-2</v>
      </c>
    </row>
    <row r="13" spans="1:6" ht="15" thickTop="1" thickBot="1" x14ac:dyDescent="0.5">
      <c r="A13" s="105" t="s">
        <v>112</v>
      </c>
      <c r="B13" s="25">
        <v>14</v>
      </c>
      <c r="C13" s="32"/>
      <c r="D13" s="26">
        <v>0.08</v>
      </c>
    </row>
    <row r="14" spans="1:6" ht="14.65" thickBot="1" x14ac:dyDescent="0.5">
      <c r="A14" s="106"/>
      <c r="B14" s="25">
        <v>18</v>
      </c>
      <c r="C14" s="25"/>
      <c r="D14" s="26">
        <v>0.12</v>
      </c>
    </row>
    <row r="15" spans="1:6" ht="14.65" thickBot="1" x14ac:dyDescent="0.5">
      <c r="A15" s="107"/>
      <c r="B15" s="25">
        <v>19</v>
      </c>
      <c r="C15" s="25"/>
      <c r="D15" s="26">
        <v>0.12</v>
      </c>
    </row>
  </sheetData>
  <mergeCells count="5">
    <mergeCell ref="A3:A9"/>
    <mergeCell ref="A10:A12"/>
    <mergeCell ref="B10:B12"/>
    <mergeCell ref="A13:A15"/>
    <mergeCell ref="B4:B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CC1F81F7D9E7488ED9C84B8917317D" ma:contentTypeVersion="8" ma:contentTypeDescription="Create a new document." ma:contentTypeScope="" ma:versionID="658c8d717184ab91460dce4ab37ca419">
  <xsd:schema xmlns:xsd="http://www.w3.org/2001/XMLSchema" xmlns:xs="http://www.w3.org/2001/XMLSchema" xmlns:p="http://schemas.microsoft.com/office/2006/metadata/properties" xmlns:ns3="156f14a9-ad27-465c-beea-0400167b42e7" xmlns:ns4="c97abbac-8556-4a61-a3b4-2d7730bb058e" targetNamespace="http://schemas.microsoft.com/office/2006/metadata/properties" ma:root="true" ma:fieldsID="4d95b75efd7065c5ffa83723efaaca3a" ns3:_="" ns4:_="">
    <xsd:import namespace="156f14a9-ad27-465c-beea-0400167b42e7"/>
    <xsd:import namespace="c97abbac-8556-4a61-a3b4-2d7730bb0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6f14a9-ad27-465c-beea-0400167b42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7abbac-8556-4a61-a3b4-2d7730bb0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77C49B-D99A-46C1-B2CE-E6C3793608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6f14a9-ad27-465c-beea-0400167b42e7"/>
    <ds:schemaRef ds:uri="c97abbac-8556-4a61-a3b4-2d7730bb0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B15B75-ABB6-4176-AD9A-5BED27BDD52E}">
  <ds:schemaRefs>
    <ds:schemaRef ds:uri="http://schemas.microsoft.com/office/2006/metadata/properties"/>
    <ds:schemaRef ds:uri="156f14a9-ad27-465c-beea-0400167b42e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  <ds:schemaRef ds:uri="c97abbac-8556-4a61-a3b4-2d7730bb058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3B9899E-403F-41D8-930F-F1B3A14D225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IRR</vt:lpstr>
      <vt:lpstr>Solution</vt:lpstr>
      <vt:lpstr>Specific</vt:lpstr>
      <vt:lpstr>VND</vt:lpstr>
      <vt:lpstr>USD</vt:lpstr>
      <vt:lpstr>Group</vt:lpstr>
      <vt:lpstr>Rating</vt:lpstr>
      <vt:lpstr>Sheet5</vt:lpstr>
      <vt:lpstr>Specific!Criteria</vt:lpstr>
      <vt:lpstr>Specific!Extract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Minh, Hoa (VN - Hanoi)</dc:creator>
  <cp:lastModifiedBy>Quang Anh Phung</cp:lastModifiedBy>
  <dcterms:created xsi:type="dcterms:W3CDTF">2019-11-21T07:23:15Z</dcterms:created>
  <dcterms:modified xsi:type="dcterms:W3CDTF">2023-03-21T09:37:38Z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0x010100C6CC1F81F7D9E7488ED9C84B8917317D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etDate">
    <vt:lpwstr>2023-02-07T14:07:24Z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MSIP_Label_ea60d57e-af5b-4752-ac57-3e4f28ca11dc_SiteId">
    <vt:lpwstr>36da45f1-dd2c-4d1f-af13-5abe46b99921</vt:lpwstr>
  </property>
  <property fmtid="{D5CDD505-2E9C-101B-9397-08002B2CF9AE}" pid="8" name="MSIP_Label_ea60d57e-af5b-4752-ac57-3e4f28ca11dc_ActionId">
    <vt:lpwstr>1f064b57-c395-4398-a3f3-14c542752935</vt:lpwstr>
  </property>
  <property fmtid="{D5CDD505-2E9C-101B-9397-08002B2CF9AE}" pid="9" name="MSIP_Label_ea60d57e-af5b-4752-ac57-3e4f28ca11dc_ContentBits">
    <vt:lpwstr>0</vt:lpwstr>
  </property>
</Properties>
</file>